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13_ncr:1_{5FBF265D-2B43-4BEE-BAE3-74A5DA22EC4B}" xr6:coauthVersionLast="46" xr6:coauthVersionMax="46" xr10:uidLastSave="{00000000-0000-0000-0000-000000000000}"/>
  <bookViews>
    <workbookView xWindow="-108" yWindow="-108" windowWidth="23256" windowHeight="12576" xr2:uid="{DDFA06FC-818C-4122-99D8-FA2B6CE84D6D}"/>
  </bookViews>
  <sheets>
    <sheet name="相関表" sheetId="6" r:id="rId1"/>
    <sheet name="Sheet1" sheetId="1" r:id="rId2"/>
    <sheet name="Sheet2" sheetId="2" r:id="rId3"/>
    <sheet name="Sheet 3" sheetId="3" r:id="rId4"/>
    <sheet name="Sheet 4" sheetId="4" r:id="rId5"/>
    <sheet name="Sheet5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/>
  <c r="D1" i="2"/>
  <c r="A2" i="1"/>
  <c r="D51" i="3" l="1"/>
  <c r="C51" i="3"/>
  <c r="D50" i="3"/>
  <c r="C50" i="3"/>
  <c r="D49" i="3"/>
  <c r="C49" i="3"/>
  <c r="D48" i="3"/>
  <c r="F48" i="3" s="1"/>
  <c r="H6" i="4" s="1"/>
  <c r="C48" i="3"/>
  <c r="D47" i="3"/>
  <c r="F47" i="3" s="1"/>
  <c r="G6" i="4" s="1"/>
  <c r="C47" i="3"/>
  <c r="D46" i="3"/>
  <c r="F46" i="3" s="1"/>
  <c r="F6" i="4" s="1"/>
  <c r="C46" i="3"/>
  <c r="D45" i="3"/>
  <c r="F45" i="3" s="1"/>
  <c r="E6" i="4" s="1"/>
  <c r="C45" i="3"/>
  <c r="D44" i="3"/>
  <c r="F44" i="3" s="1"/>
  <c r="D6" i="4" s="1"/>
  <c r="C44" i="3"/>
  <c r="D43" i="3"/>
  <c r="C43" i="3"/>
  <c r="D42" i="3"/>
  <c r="F42" i="3" s="1"/>
  <c r="B6" i="4" s="1"/>
  <c r="C42" i="3"/>
  <c r="D41" i="3"/>
  <c r="C41" i="3"/>
  <c r="D40" i="3"/>
  <c r="F40" i="3" s="1"/>
  <c r="J5" i="4" s="1"/>
  <c r="C40" i="3"/>
  <c r="D39" i="3"/>
  <c r="F39" i="3" s="1"/>
  <c r="I5" i="4" s="1"/>
  <c r="C39" i="3"/>
  <c r="D38" i="3"/>
  <c r="F38" i="3" s="1"/>
  <c r="H5" i="4" s="1"/>
  <c r="C38" i="3"/>
  <c r="D37" i="3"/>
  <c r="C37" i="3"/>
  <c r="D36" i="3"/>
  <c r="F36" i="3" s="1"/>
  <c r="F5" i="4" s="1"/>
  <c r="C36" i="3"/>
  <c r="D35" i="3"/>
  <c r="C35" i="3"/>
  <c r="D34" i="3"/>
  <c r="C34" i="3"/>
  <c r="D33" i="3"/>
  <c r="C33" i="3"/>
  <c r="D32" i="3"/>
  <c r="F32" i="3" s="1"/>
  <c r="B5" i="4" s="1"/>
  <c r="C32" i="3"/>
  <c r="D31" i="3"/>
  <c r="C31" i="3"/>
  <c r="D30" i="3"/>
  <c r="C30" i="3"/>
  <c r="D29" i="3"/>
  <c r="C29" i="3"/>
  <c r="D28" i="3"/>
  <c r="F28" i="3" s="1"/>
  <c r="H4" i="4" s="1"/>
  <c r="C28" i="3"/>
  <c r="D27" i="3"/>
  <c r="F27" i="3" s="1"/>
  <c r="G4" i="4" s="1"/>
  <c r="C27" i="3"/>
  <c r="F26" i="3"/>
  <c r="F4" i="4" s="1"/>
  <c r="D26" i="3"/>
  <c r="C26" i="3"/>
  <c r="D25" i="3"/>
  <c r="F25" i="3" s="1"/>
  <c r="E4" i="4" s="1"/>
  <c r="C25" i="3"/>
  <c r="D24" i="3"/>
  <c r="F24" i="3" s="1"/>
  <c r="D4" i="4" s="1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F15" i="3" s="1"/>
  <c r="E3" i="4" s="1"/>
  <c r="C15" i="3"/>
  <c r="D14" i="3"/>
  <c r="F14" i="3" s="1"/>
  <c r="D3" i="4" s="1"/>
  <c r="C14" i="3"/>
  <c r="D13" i="3"/>
  <c r="C13" i="3"/>
  <c r="D12" i="3"/>
  <c r="C12" i="3"/>
  <c r="C3" i="3"/>
  <c r="D3" i="3"/>
  <c r="C4" i="3"/>
  <c r="D4" i="3"/>
  <c r="C5" i="3"/>
  <c r="D5" i="3"/>
  <c r="C6" i="3"/>
  <c r="D6" i="3"/>
  <c r="F6" i="3" s="1"/>
  <c r="F2" i="4" s="1"/>
  <c r="C7" i="3"/>
  <c r="D7" i="3"/>
  <c r="C8" i="3"/>
  <c r="D8" i="3"/>
  <c r="C9" i="3"/>
  <c r="D9" i="3"/>
  <c r="F9" i="3" s="1"/>
  <c r="I2" i="4" s="1"/>
  <c r="C10" i="3"/>
  <c r="D10" i="3"/>
  <c r="F10" i="3" s="1"/>
  <c r="J2" i="4" s="1"/>
  <c r="C11" i="3"/>
  <c r="D11" i="3"/>
  <c r="D2" i="3"/>
  <c r="C2" i="3"/>
  <c r="F17" i="3" l="1"/>
  <c r="G3" i="4" s="1"/>
  <c r="F33" i="3"/>
  <c r="C5" i="4" s="1"/>
  <c r="F41" i="3"/>
  <c r="K5" i="4" s="1"/>
  <c r="F49" i="3"/>
  <c r="I6" i="4" s="1"/>
  <c r="F13" i="3"/>
  <c r="C3" i="4" s="1"/>
  <c r="F21" i="3"/>
  <c r="K3" i="4" s="1"/>
  <c r="F5" i="3"/>
  <c r="F37" i="3"/>
  <c r="G5" i="4" s="1"/>
  <c r="F51" i="3"/>
  <c r="K6" i="4" s="1"/>
  <c r="F2" i="3"/>
  <c r="F29" i="3"/>
  <c r="I4" i="4" s="1"/>
  <c r="F16" i="3"/>
  <c r="F3" i="4" s="1"/>
  <c r="F7" i="4" s="1"/>
  <c r="F20" i="3"/>
  <c r="J3" i="4" s="1"/>
  <c r="F30" i="3"/>
  <c r="J4" i="4" s="1"/>
  <c r="F34" i="3"/>
  <c r="D5" i="4" s="1"/>
  <c r="F8" i="3"/>
  <c r="F4" i="3"/>
  <c r="F50" i="3"/>
  <c r="J6" i="4" s="1"/>
  <c r="F11" i="3"/>
  <c r="F7" i="3"/>
  <c r="F3" i="3"/>
  <c r="F18" i="3"/>
  <c r="H3" i="4" s="1"/>
  <c r="F22" i="3"/>
  <c r="B4" i="4" s="1"/>
  <c r="F43" i="3"/>
  <c r="C6" i="4" s="1"/>
  <c r="L6" i="4" s="1"/>
  <c r="F31" i="3"/>
  <c r="K4" i="4" s="1"/>
  <c r="F35" i="3"/>
  <c r="E5" i="4" s="1"/>
  <c r="F12" i="3"/>
  <c r="B3" i="4" s="1"/>
  <c r="F19" i="3"/>
  <c r="F23" i="3"/>
  <c r="C4" i="4" s="1"/>
  <c r="J7" i="4" l="1"/>
  <c r="L5" i="4"/>
  <c r="D4" i="2"/>
  <c r="D9" i="4" s="1"/>
  <c r="D2" i="4"/>
  <c r="D7" i="4" s="1"/>
  <c r="H2" i="4"/>
  <c r="H7" i="4" s="1"/>
  <c r="D8" i="2"/>
  <c r="H9" i="4" s="1"/>
  <c r="D6" i="2"/>
  <c r="F9" i="4" s="1"/>
  <c r="D9" i="2"/>
  <c r="I9" i="4" s="1"/>
  <c r="I3" i="4"/>
  <c r="I7" i="4" s="1"/>
  <c r="G2" i="4"/>
  <c r="G7" i="4" s="1"/>
  <c r="D7" i="2"/>
  <c r="G9" i="4" s="1"/>
  <c r="L4" i="4"/>
  <c r="D5" i="2"/>
  <c r="E9" i="4" s="1"/>
  <c r="E2" i="4"/>
  <c r="E7" i="4" s="1"/>
  <c r="D10" i="2"/>
  <c r="J9" i="4" s="1"/>
  <c r="C2" i="4"/>
  <c r="C7" i="4" s="1"/>
  <c r="D3" i="2"/>
  <c r="C9" i="4" s="1"/>
  <c r="L3" i="4"/>
  <c r="D11" i="2"/>
  <c r="K9" i="4" s="1"/>
  <c r="K2" i="4"/>
  <c r="K7" i="4" s="1"/>
  <c r="D2" i="2"/>
  <c r="B9" i="4" s="1"/>
  <c r="C2" i="1"/>
  <c r="B2" i="4"/>
  <c r="L2" i="4" l="1"/>
  <c r="B7" i="4"/>
  <c r="L7" i="4" s="1"/>
  <c r="D2" i="1" s="1"/>
  <c r="L9" i="4"/>
  <c r="B2" i="1"/>
</calcChain>
</file>

<file path=xl/sharedStrings.xml><?xml version="1.0" encoding="utf-8"?>
<sst xmlns="http://schemas.openxmlformats.org/spreadsheetml/2006/main" count="107" uniqueCount="36">
  <si>
    <t>id</t>
  </si>
  <si>
    <t>id01</t>
    <phoneticPr fontId="1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</si>
  <si>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</si>
  <si>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</si>
  <si>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</si>
  <si>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</si>
  <si>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</si>
  <si>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</si>
  <si>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</si>
  <si>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</si>
  <si>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</si>
  <si>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単価</t>
    <rPh sb="0" eb="2">
      <t>タンカ</t>
    </rPh>
    <phoneticPr fontId="1"/>
  </si>
  <si>
    <t>名称</t>
    <rPh sb="0" eb="2">
      <t>メイショウ</t>
    </rPh>
    <phoneticPr fontId="1"/>
  </si>
  <si>
    <t>名前01</t>
    <rPh sb="0" eb="2">
      <t>ナマエ</t>
    </rPh>
    <phoneticPr fontId="1"/>
  </si>
  <si>
    <t>名前02</t>
    <rPh sb="0" eb="2">
      <t>ナマエ</t>
    </rPh>
    <phoneticPr fontId="1"/>
  </si>
  <si>
    <t>名前03</t>
    <rPh sb="0" eb="2">
      <t>ナマエ</t>
    </rPh>
    <phoneticPr fontId="1"/>
  </si>
  <si>
    <t>名前04</t>
    <rPh sb="0" eb="2">
      <t>ナマエ</t>
    </rPh>
    <phoneticPr fontId="1"/>
  </si>
  <si>
    <t>名前05</t>
    <rPh sb="0" eb="2">
      <t>ナマエ</t>
    </rPh>
    <phoneticPr fontId="1"/>
  </si>
  <si>
    <t>名前06</t>
    <rPh sb="0" eb="2">
      <t>ナマエ</t>
    </rPh>
    <phoneticPr fontId="1"/>
  </si>
  <si>
    <t>名前07</t>
    <rPh sb="0" eb="2">
      <t>ナマエ</t>
    </rPh>
    <phoneticPr fontId="1"/>
  </si>
  <si>
    <t>名前08</t>
    <rPh sb="0" eb="2">
      <t>ナマエ</t>
    </rPh>
    <phoneticPr fontId="1"/>
  </si>
  <si>
    <t>名前09</t>
    <rPh sb="0" eb="2">
      <t>ナマエ</t>
    </rPh>
    <phoneticPr fontId="1"/>
  </si>
  <si>
    <t>名前10</t>
    <rPh sb="0" eb="2">
      <t>ナマエ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</si>
  <si>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</si>
  <si>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</si>
  <si>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日付</t>
    <rPh sb="0" eb="2">
      <t>ヒヅケ</t>
    </rPh>
    <phoneticPr fontId="1"/>
  </si>
  <si>
    <t>合計</t>
    <rPh sb="0" eb="2">
      <t>ゴウケイ</t>
    </rPh>
    <phoneticPr fontId="1"/>
  </si>
  <si>
    <t>id集計より</t>
    <rPh sb="2" eb="4">
      <t>シュウケイ</t>
    </rPh>
    <phoneticPr fontId="1"/>
  </si>
  <si>
    <t>Sheet2</t>
    <phoneticPr fontId="1"/>
  </si>
  <si>
    <t>Shee 3</t>
    <phoneticPr fontId="1"/>
  </si>
  <si>
    <t>Sheet 4</t>
    <phoneticPr fontId="1"/>
  </si>
  <si>
    <t>Sheet1</t>
  </si>
  <si>
    <t>Sheet2</t>
  </si>
  <si>
    <t>Sheet 3</t>
  </si>
  <si>
    <t>Sheet 4</t>
  </si>
  <si>
    <t>Sheet5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</si>
</sst>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38" fontId="0" fillId="0" borderId="0" xfId="1" applyFont="1">
      <alignment vertical="center"/>
    </xf>
    <xf numFmtId="14" fontId="0" fillId="0" borderId="0" xfId="0" applyNumberFormat="1">
      <alignment vertical="center"/>
    </xf>
    <xf numFmtId="3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7</xdr:col>
      <xdr:colOff>0</xdr:colOff>
      <xdr:row>14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477FB7F4-65D9-4AF7-9B58-626D8E2452E5}"/>
            </a:ext>
          </a:extLst>
        </xdr:cNvPr>
        <xdr:cNvSpPr txBox="1"/>
      </xdr:nvSpPr>
      <xdr:spPr>
        <a:xfrm>
          <a:off x="670560" y="1828800"/>
          <a:ext cx="4023360" cy="13716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400" b="0"/>
            <a:t>B</a:t>
          </a:r>
          <a:r>
            <a:rPr kumimoji="1" lang="ja-JP" altLang="en-US" sz="1400" b="0"/>
            <a:t>列のシートの数式が</a:t>
          </a:r>
          <a:r>
            <a:rPr kumimoji="1" lang="en-US" altLang="ja-JP" sz="1400" b="0"/>
            <a:t>2</a:t>
          </a:r>
          <a:r>
            <a:rPr kumimoji="1" lang="ja-JP" altLang="en-US" sz="1400" b="0"/>
            <a:t>行目のシートを参照している場合に交点に</a:t>
          </a:r>
          <a:r>
            <a:rPr kumimoji="1" lang="en-US" altLang="ja-JP" sz="1400" b="0"/>
            <a:t>"○"</a:t>
          </a:r>
          <a:r>
            <a:rPr kumimoji="1" lang="ja-JP" altLang="en-US" sz="1400" b="0"/>
            <a:t>を入れてください。</a:t>
          </a:r>
          <a:endParaRPr kumimoji="1" lang="en-US" altLang="ja-JP" sz="1400" b="0"/>
        </a:p>
        <a:p>
          <a:r>
            <a:rPr kumimoji="1" lang="en-US" altLang="ja-JP" sz="1400" b="1"/>
            <a:t>Sheet1</a:t>
          </a:r>
          <a:r>
            <a:rPr kumimoji="1" lang="ja-JP" altLang="en-US" sz="1400" b="0"/>
            <a:t>に、</a:t>
          </a:r>
          <a:r>
            <a:rPr kumimoji="1" lang="en-US" altLang="ja-JP" sz="1400" b="0"/>
            <a:t>=~</a:t>
          </a:r>
          <a:r>
            <a:rPr kumimoji="1" lang="ja-JP" altLang="en-US" sz="1400" b="0"/>
            <a:t> </a:t>
          </a:r>
          <a:r>
            <a:rPr kumimoji="1" lang="en-US" altLang="ja-JP" sz="1400" b="1"/>
            <a:t>Sheet2!</a:t>
          </a:r>
          <a:r>
            <a:rPr kumimoji="1" lang="en-US" altLang="ja-JP" sz="1400" b="0"/>
            <a:t>~</a:t>
          </a:r>
          <a:r>
            <a:rPr kumimoji="1" lang="ja-JP" altLang="en-US" sz="1400" b="0"/>
            <a:t>の数式がれば、</a:t>
          </a:r>
          <a:r>
            <a:rPr kumimoji="1" lang="en-US" altLang="ja-JP" sz="1400" b="1"/>
            <a:t>D3</a:t>
          </a:r>
          <a:r>
            <a:rPr kumimoji="1" lang="ja-JP" altLang="en-US" sz="1400" b="1"/>
            <a:t>に○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Sheet2</a:t>
          </a:r>
          <a:r>
            <a:rPr kumimoji="1" lang="ja-JP" altLang="ja-JP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に、</a:t>
          </a:r>
          <a:r>
            <a:rPr kumimoji="1" lang="en-US" altLang="ja-JP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=~</a:t>
          </a:r>
          <a:r>
            <a:rPr kumimoji="1" lang="ja-JP" altLang="ja-JP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'Sheet 3'!</a:t>
          </a:r>
          <a:r>
            <a:rPr kumimoji="1" lang="en-US" altLang="ja-JP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</a:t>
          </a:r>
          <a:r>
            <a:rPr kumimoji="1" lang="ja-JP" altLang="ja-JP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の数式が</a:t>
          </a:r>
          <a:r>
            <a:rPr kumimoji="1" lang="ja-JP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あれば</a:t>
          </a:r>
          <a:r>
            <a:rPr kumimoji="1" lang="ja-JP" altLang="ja-JP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E4</a:t>
          </a:r>
          <a:r>
            <a:rPr kumimoji="1" lang="ja-JP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に○</a:t>
          </a:r>
          <a:endParaRPr lang="ja-JP" altLang="ja-JP" sz="1400" b="1">
            <a:effectLst/>
          </a:endParaRPr>
        </a:p>
        <a:p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A229B-C7A8-4081-B0AD-50ADD43793A5}">
  <sheetPr codeName="Sheet6"/>
  <dimension ref="B2:G7"/>
  <sheetViews>
    <sheetView tabSelected="1" workbookViewId="0"/>
  </sheetViews>
  <sheetFormatPr defaultRowHeight="18" x14ac:dyDescent="0.45"/>
  <sheetData>
    <row r="2" spans="2:7" x14ac:dyDescent="0.45">
      <c r="B2" s="4"/>
      <c r="C2" s="4" t="s">
        <v>31</v>
      </c>
      <c r="D2" s="4" t="s">
        <v>32</v>
      </c>
      <c r="E2" s="4" t="s">
        <v>33</v>
      </c>
      <c r="F2" s="4" t="s">
        <v>34</v>
      </c>
      <c r="G2" s="4" t="s">
        <v>35</v>
      </c>
    </row>
    <row r="3" spans="2:7" x14ac:dyDescent="0.45">
      <c r="B3" s="4" t="s">
        <v>31</v>
      </c>
      <c r="C3" s="5"/>
      <c r="D3" s="4"/>
      <c r="E3" s="4"/>
      <c r="F3" s="4"/>
      <c r="G3" s="4"/>
    </row>
    <row r="4" spans="2:7" x14ac:dyDescent="0.45">
      <c r="B4" s="4" t="s">
        <v>32</v>
      </c>
      <c r="C4" s="4"/>
      <c r="D4" s="5"/>
      <c r="E4" s="4"/>
      <c r="F4" s="4"/>
      <c r="G4" s="4"/>
    </row>
    <row r="5" spans="2:7" x14ac:dyDescent="0.45">
      <c r="B5" s="4" t="s">
        <v>33</v>
      </c>
      <c r="C5" s="4"/>
      <c r="D5" s="4"/>
      <c r="E5" s="5"/>
      <c r="F5" s="4"/>
      <c r="G5" s="4"/>
    </row>
    <row r="6" spans="2:7" x14ac:dyDescent="0.45">
      <c r="B6" s="4" t="s">
        <v>34</v>
      </c>
      <c r="C6" s="4"/>
      <c r="D6" s="4"/>
      <c r="E6" s="4"/>
      <c r="F6" s="5"/>
      <c r="G6" s="4"/>
    </row>
    <row r="7" spans="2:7" x14ac:dyDescent="0.45">
      <c r="B7" s="4" t="s">
        <v>35</v>
      </c>
      <c r="C7" s="4"/>
      <c r="D7" s="4"/>
      <c r="E7" s="4"/>
      <c r="F7" s="4"/>
      <c r="G7" s="5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E5ADD-46BE-435A-9111-546FE5632985}">
  <sheetPr codeName="Sheet1"/>
  <dimension ref="A1:D2"/>
  <sheetViews>
    <sheetView workbookViewId="0">
      <selection activeCell="D2" sqref="D2"/>
    </sheetView>
  </sheetViews>
  <sheetFormatPr defaultRowHeight="18" x14ac:dyDescent="0.45"/>
  <cols>
    <col min="2" max="3" width="9.3984375" bestFit="1" customWidth="1"/>
  </cols>
  <sheetData>
    <row r="1" spans="1:4" x14ac:dyDescent="0.45">
      <c r="B1" t="s">
        <v>28</v>
      </c>
      <c r="C1" t="s">
        <v>29</v>
      </c>
      <c r="D1" t="s">
        <v>30</v>
      </c>
    </row>
    <row r="2" spans="1:4" x14ac:dyDescent="0.45">
      <c r="A2" t="str">
        <f>Sheet5!A2</f>
        <v>合計</v>
      </c>
      <c r="B2">
        <f>SUM(Sheet2!D:D)</f>
        <v>3490798</v>
      </c>
      <c r="C2" s="3">
        <f>SUM('Sheet 3'!F:F)</f>
        <v>3490798</v>
      </c>
      <c r="D2">
        <f>INDEX('Sheet 4'!A1:L7,MATCH("合計",'Sheet 4'!A:A,0),MATCH("合計",'Sheet 4'!1:1,0))</f>
        <v>3490798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9A463-D4E0-465F-A31D-8FAFF11A9FAE}">
  <sheetPr codeName="Sheet2"/>
  <dimension ref="A1:D11"/>
  <sheetViews>
    <sheetView workbookViewId="0"/>
  </sheetViews>
  <sheetFormatPr defaultRowHeight="18" x14ac:dyDescent="0.45"/>
  <sheetData>
    <row r="1" spans="1:4" x14ac:dyDescent="0.45">
      <c r="A1" t="s">
        <v>0</v>
      </c>
      <c r="B1" t="str">
        <f>Sheet5!B1</f>
        <v>名称</v>
      </c>
      <c r="C1" t="str">
        <f>Sheet5!C1</f>
        <v>単価</v>
      </c>
      <c r="D1" t="str">
        <f>Sheet5!D1</f>
        <v>金額</v>
      </c>
    </row>
    <row r="2" spans="1:4" x14ac:dyDescent="0.45">
      <c r="A2" t="s">
        <v>1</v>
      </c>
      <c r="B2" t="s">
        <v>13</v>
      </c>
      <c r="C2" s="1">
        <v>1981</v>
      </c>
      <c r="D2" s="1">
        <f>SUMIFS('Sheet 3'!F:F,'Sheet 3'!B:B,Sheet2!A2)</f>
        <v>219891</v>
      </c>
    </row>
    <row r="3" spans="1:4" x14ac:dyDescent="0.45">
      <c r="A3" t="s">
        <v>2</v>
      </c>
      <c r="B3" t="s">
        <v>14</v>
      </c>
      <c r="C3" s="1">
        <v>315</v>
      </c>
      <c r="D3" s="1">
        <f>SUMIFS('Sheet 3'!F:F,'Sheet 3'!B:B,Sheet2!A3)</f>
        <v>63315</v>
      </c>
    </row>
    <row r="4" spans="1:4" x14ac:dyDescent="0.45">
      <c r="A4" t="s">
        <v>3</v>
      </c>
      <c r="B4" t="s">
        <v>15</v>
      </c>
      <c r="C4" s="1">
        <v>1780</v>
      </c>
      <c r="D4" s="1">
        <f>SUMIFS('Sheet 3'!F:F,'Sheet 3'!B:B,Sheet2!A4)</f>
        <v>539340</v>
      </c>
    </row>
    <row r="5" spans="1:4" x14ac:dyDescent="0.45">
      <c r="A5" t="s">
        <v>4</v>
      </c>
      <c r="B5" t="s">
        <v>16</v>
      </c>
      <c r="C5" s="1">
        <v>1937</v>
      </c>
      <c r="D5" s="1">
        <f>SUMIFS('Sheet 3'!F:F,'Sheet 3'!B:B,Sheet2!A5)</f>
        <v>524927</v>
      </c>
    </row>
    <row r="6" spans="1:4" x14ac:dyDescent="0.45">
      <c r="A6" t="s">
        <v>5</v>
      </c>
      <c r="B6" t="s">
        <v>17</v>
      </c>
      <c r="C6" s="1">
        <v>1436</v>
      </c>
      <c r="D6" s="1">
        <f>SUMIFS('Sheet 3'!F:F,'Sheet 3'!B:B,Sheet2!A6)</f>
        <v>410696</v>
      </c>
    </row>
    <row r="7" spans="1:4" x14ac:dyDescent="0.45">
      <c r="A7" t="s">
        <v>6</v>
      </c>
      <c r="B7" t="s">
        <v>18</v>
      </c>
      <c r="C7" s="1">
        <v>1884</v>
      </c>
      <c r="D7" s="1">
        <f>SUMIFS('Sheet 3'!F:F,'Sheet 3'!B:B,Sheet2!A7)</f>
        <v>467232</v>
      </c>
    </row>
    <row r="8" spans="1:4" x14ac:dyDescent="0.45">
      <c r="A8" t="s">
        <v>7</v>
      </c>
      <c r="B8" t="s">
        <v>19</v>
      </c>
      <c r="C8" s="1">
        <v>505</v>
      </c>
      <c r="D8" s="1">
        <f>SUMIFS('Sheet 3'!F:F,'Sheet 3'!B:B,Sheet2!A8)</f>
        <v>142410</v>
      </c>
    </row>
    <row r="9" spans="1:4" x14ac:dyDescent="0.45">
      <c r="A9" t="s">
        <v>8</v>
      </c>
      <c r="B9" t="s">
        <v>20</v>
      </c>
      <c r="C9" s="1">
        <v>437</v>
      </c>
      <c r="D9" s="1">
        <f>SUMIFS('Sheet 3'!F:F,'Sheet 3'!B:B,Sheet2!A9)</f>
        <v>149891</v>
      </c>
    </row>
    <row r="10" spans="1:4" x14ac:dyDescent="0.45">
      <c r="A10" t="s">
        <v>9</v>
      </c>
      <c r="B10" t="s">
        <v>21</v>
      </c>
      <c r="C10" s="1">
        <v>1921</v>
      </c>
      <c r="D10" s="1">
        <f>SUMIFS('Sheet 3'!F:F,'Sheet 3'!B:B,Sheet2!A10)</f>
        <v>722296</v>
      </c>
    </row>
    <row r="11" spans="1:4" x14ac:dyDescent="0.45">
      <c r="A11" t="s">
        <v>10</v>
      </c>
      <c r="B11" t="s">
        <v>22</v>
      </c>
      <c r="C11" s="1">
        <v>1200</v>
      </c>
      <c r="D11" s="1">
        <f>SUMIFS('Sheet 3'!F:F,'Sheet 3'!B:B,Sheet2!A11)</f>
        <v>250800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94F0-BBEB-4995-9B11-9AE68ED8746D}">
  <sheetPr codeName="Sheet3"/>
  <dimension ref="A1:F51"/>
  <sheetViews>
    <sheetView workbookViewId="0"/>
  </sheetViews>
  <sheetFormatPr defaultRowHeight="18" x14ac:dyDescent="0.45"/>
  <cols>
    <col min="1" max="1" width="9.19921875" bestFit="1" customWidth="1"/>
  </cols>
  <sheetData>
    <row r="1" spans="1:6" x14ac:dyDescent="0.45">
      <c r="A1" t="s">
        <v>25</v>
      </c>
      <c r="B1" t="s">
        <v>0</v>
      </c>
      <c r="C1" t="s">
        <v>12</v>
      </c>
      <c r="D1" t="s">
        <v>11</v>
      </c>
      <c r="E1" t="s">
        <v>23</v>
      </c>
      <c r="F1" t="s">
        <v>24</v>
      </c>
    </row>
    <row r="2" spans="1:6" x14ac:dyDescent="0.45">
      <c r="A2" s="2">
        <v>44228</v>
      </c>
      <c r="B2" t="s">
        <v>1</v>
      </c>
      <c r="C2" t="str">
        <f>VLOOKUP($B2,Sheet2!$A:$C,2,0)</f>
        <v>名前01</v>
      </c>
      <c r="D2" s="1">
        <f>VLOOKUP($B2,Sheet2!$A:$C,3,0)</f>
        <v>1981</v>
      </c>
      <c r="E2" s="1">
        <v>41</v>
      </c>
      <c r="F2" s="1">
        <f>D2*E2</f>
        <v>81221</v>
      </c>
    </row>
    <row r="3" spans="1:6" x14ac:dyDescent="0.45">
      <c r="A3" s="2">
        <v>44228</v>
      </c>
      <c r="B3" t="s">
        <v>2</v>
      </c>
      <c r="C3" t="str">
        <f>VLOOKUP($B3,Sheet2!$A:$C,2,0)</f>
        <v>名前02</v>
      </c>
      <c r="D3" s="1">
        <f>VLOOKUP($B3,Sheet2!$A:$C,3,0)</f>
        <v>315</v>
      </c>
      <c r="E3" s="1">
        <v>49</v>
      </c>
      <c r="F3" s="1">
        <f t="shared" ref="F3:F11" si="0">D3*E3</f>
        <v>15435</v>
      </c>
    </row>
    <row r="4" spans="1:6" x14ac:dyDescent="0.45">
      <c r="A4" s="2">
        <v>44228</v>
      </c>
      <c r="B4" t="s">
        <v>3</v>
      </c>
      <c r="C4" t="str">
        <f>VLOOKUP($B4,Sheet2!$A:$C,2,0)</f>
        <v>名前03</v>
      </c>
      <c r="D4" s="1">
        <f>VLOOKUP($B4,Sheet2!$A:$C,3,0)</f>
        <v>1780</v>
      </c>
      <c r="E4" s="1">
        <v>11</v>
      </c>
      <c r="F4" s="1">
        <f t="shared" si="0"/>
        <v>19580</v>
      </c>
    </row>
    <row r="5" spans="1:6" x14ac:dyDescent="0.45">
      <c r="A5" s="2">
        <v>44228</v>
      </c>
      <c r="B5" t="s">
        <v>4</v>
      </c>
      <c r="C5" t="str">
        <f>VLOOKUP($B5,Sheet2!$A:$C,2,0)</f>
        <v>名前04</v>
      </c>
      <c r="D5" s="1">
        <f>VLOOKUP($B5,Sheet2!$A:$C,3,0)</f>
        <v>1937</v>
      </c>
      <c r="E5" s="1">
        <v>15</v>
      </c>
      <c r="F5" s="1">
        <f t="shared" si="0"/>
        <v>29055</v>
      </c>
    </row>
    <row r="6" spans="1:6" x14ac:dyDescent="0.45">
      <c r="A6" s="2">
        <v>44228</v>
      </c>
      <c r="B6" t="s">
        <v>5</v>
      </c>
      <c r="C6" t="str">
        <f>VLOOKUP($B6,Sheet2!$A:$C,2,0)</f>
        <v>名前05</v>
      </c>
      <c r="D6" s="1">
        <f>VLOOKUP($B6,Sheet2!$A:$C,3,0)</f>
        <v>1436</v>
      </c>
      <c r="E6" s="1">
        <v>58</v>
      </c>
      <c r="F6" s="1">
        <f t="shared" si="0"/>
        <v>83288</v>
      </c>
    </row>
    <row r="7" spans="1:6" x14ac:dyDescent="0.45">
      <c r="A7" s="2">
        <v>44228</v>
      </c>
      <c r="B7" t="s">
        <v>6</v>
      </c>
      <c r="C7" t="str">
        <f>VLOOKUP($B7,Sheet2!$A:$C,2,0)</f>
        <v>名前06</v>
      </c>
      <c r="D7" s="1">
        <f>VLOOKUP($B7,Sheet2!$A:$C,3,0)</f>
        <v>1884</v>
      </c>
      <c r="E7" s="1">
        <v>60</v>
      </c>
      <c r="F7" s="1">
        <f t="shared" si="0"/>
        <v>113040</v>
      </c>
    </row>
    <row r="8" spans="1:6" x14ac:dyDescent="0.45">
      <c r="A8" s="2">
        <v>44228</v>
      </c>
      <c r="B8" t="s">
        <v>7</v>
      </c>
      <c r="C8" t="str">
        <f>VLOOKUP($B8,Sheet2!$A:$C,2,0)</f>
        <v>名前07</v>
      </c>
      <c r="D8" s="1">
        <f>VLOOKUP($B8,Sheet2!$A:$C,3,0)</f>
        <v>505</v>
      </c>
      <c r="E8" s="1">
        <v>63</v>
      </c>
      <c r="F8" s="1">
        <f t="shared" si="0"/>
        <v>31815</v>
      </c>
    </row>
    <row r="9" spans="1:6" x14ac:dyDescent="0.45">
      <c r="A9" s="2">
        <v>44228</v>
      </c>
      <c r="B9" t="s">
        <v>8</v>
      </c>
      <c r="C9" t="str">
        <f>VLOOKUP($B9,Sheet2!$A:$C,2,0)</f>
        <v>名前08</v>
      </c>
      <c r="D9" s="1">
        <f>VLOOKUP($B9,Sheet2!$A:$C,3,0)</f>
        <v>437</v>
      </c>
      <c r="E9" s="1">
        <v>95</v>
      </c>
      <c r="F9" s="1">
        <f t="shared" si="0"/>
        <v>41515</v>
      </c>
    </row>
    <row r="10" spans="1:6" x14ac:dyDescent="0.45">
      <c r="A10" s="2">
        <v>44228</v>
      </c>
      <c r="B10" t="s">
        <v>9</v>
      </c>
      <c r="C10" t="str">
        <f>VLOOKUP($B10,Sheet2!$A:$C,2,0)</f>
        <v>名前09</v>
      </c>
      <c r="D10" s="1">
        <f>VLOOKUP($B10,Sheet2!$A:$C,3,0)</f>
        <v>1921</v>
      </c>
      <c r="E10" s="1">
        <v>84</v>
      </c>
      <c r="F10" s="1">
        <f t="shared" si="0"/>
        <v>161364</v>
      </c>
    </row>
    <row r="11" spans="1:6" x14ac:dyDescent="0.45">
      <c r="A11" s="2">
        <v>44228</v>
      </c>
      <c r="B11" t="s">
        <v>10</v>
      </c>
      <c r="C11" t="str">
        <f>VLOOKUP($B11,Sheet2!$A:$C,2,0)</f>
        <v>名前10</v>
      </c>
      <c r="D11" s="1">
        <f>VLOOKUP($B11,Sheet2!$A:$C,3,0)</f>
        <v>1200</v>
      </c>
      <c r="E11" s="1">
        <v>76</v>
      </c>
      <c r="F11" s="1">
        <f t="shared" si="0"/>
        <v>91200</v>
      </c>
    </row>
    <row r="12" spans="1:6" x14ac:dyDescent="0.45">
      <c r="A12" s="2">
        <v>44229</v>
      </c>
      <c r="B12" t="s">
        <v>1</v>
      </c>
      <c r="C12" t="str">
        <f>VLOOKUP($B12,Sheet2!$A:$C,2,0)</f>
        <v>名前01</v>
      </c>
      <c r="D12" s="1">
        <f>VLOOKUP($B12,Sheet2!$A:$C,3,0)</f>
        <v>1981</v>
      </c>
      <c r="E12" s="1">
        <v>14</v>
      </c>
      <c r="F12" s="1">
        <f>D12*E12</f>
        <v>27734</v>
      </c>
    </row>
    <row r="13" spans="1:6" x14ac:dyDescent="0.45">
      <c r="A13" s="2">
        <v>44229</v>
      </c>
      <c r="B13" t="s">
        <v>2</v>
      </c>
      <c r="C13" t="str">
        <f>VLOOKUP($B13,Sheet2!$A:$C,2,0)</f>
        <v>名前02</v>
      </c>
      <c r="D13" s="1">
        <f>VLOOKUP($B13,Sheet2!$A:$C,3,0)</f>
        <v>315</v>
      </c>
      <c r="E13" s="1">
        <v>19</v>
      </c>
      <c r="F13" s="1">
        <f t="shared" ref="F13:F21" si="1">D13*E13</f>
        <v>5985</v>
      </c>
    </row>
    <row r="14" spans="1:6" x14ac:dyDescent="0.45">
      <c r="A14" s="2">
        <v>44229</v>
      </c>
      <c r="B14" t="s">
        <v>3</v>
      </c>
      <c r="C14" t="str">
        <f>VLOOKUP($B14,Sheet2!$A:$C,2,0)</f>
        <v>名前03</v>
      </c>
      <c r="D14" s="1">
        <f>VLOOKUP($B14,Sheet2!$A:$C,3,0)</f>
        <v>1780</v>
      </c>
      <c r="E14" s="1">
        <v>39</v>
      </c>
      <c r="F14" s="1">
        <f t="shared" si="1"/>
        <v>69420</v>
      </c>
    </row>
    <row r="15" spans="1:6" x14ac:dyDescent="0.45">
      <c r="A15" s="2">
        <v>44229</v>
      </c>
      <c r="B15" t="s">
        <v>4</v>
      </c>
      <c r="C15" t="str">
        <f>VLOOKUP($B15,Sheet2!$A:$C,2,0)</f>
        <v>名前04</v>
      </c>
      <c r="D15" s="1">
        <f>VLOOKUP($B15,Sheet2!$A:$C,3,0)</f>
        <v>1937</v>
      </c>
      <c r="E15" s="1">
        <v>85</v>
      </c>
      <c r="F15" s="1">
        <f t="shared" si="1"/>
        <v>164645</v>
      </c>
    </row>
    <row r="16" spans="1:6" x14ac:dyDescent="0.45">
      <c r="A16" s="2">
        <v>44229</v>
      </c>
      <c r="B16" t="s">
        <v>5</v>
      </c>
      <c r="C16" t="str">
        <f>VLOOKUP($B16,Sheet2!$A:$C,2,0)</f>
        <v>名前05</v>
      </c>
      <c r="D16" s="1">
        <f>VLOOKUP($B16,Sheet2!$A:$C,3,0)</f>
        <v>1436</v>
      </c>
      <c r="E16" s="1">
        <v>83</v>
      </c>
      <c r="F16" s="1">
        <f t="shared" si="1"/>
        <v>119188</v>
      </c>
    </row>
    <row r="17" spans="1:6" x14ac:dyDescent="0.45">
      <c r="A17" s="2">
        <v>44229</v>
      </c>
      <c r="B17" t="s">
        <v>6</v>
      </c>
      <c r="C17" t="str">
        <f>VLOOKUP($B17,Sheet2!$A:$C,2,0)</f>
        <v>名前06</v>
      </c>
      <c r="D17" s="1">
        <f>VLOOKUP($B17,Sheet2!$A:$C,3,0)</f>
        <v>1884</v>
      </c>
      <c r="E17" s="1">
        <v>70</v>
      </c>
      <c r="F17" s="1">
        <f t="shared" si="1"/>
        <v>131880</v>
      </c>
    </row>
    <row r="18" spans="1:6" x14ac:dyDescent="0.45">
      <c r="A18" s="2">
        <v>44229</v>
      </c>
      <c r="B18" t="s">
        <v>7</v>
      </c>
      <c r="C18" t="str">
        <f>VLOOKUP($B18,Sheet2!$A:$C,2,0)</f>
        <v>名前07</v>
      </c>
      <c r="D18" s="1">
        <f>VLOOKUP($B18,Sheet2!$A:$C,3,0)</f>
        <v>505</v>
      </c>
      <c r="E18" s="1">
        <v>53</v>
      </c>
      <c r="F18" s="1">
        <f t="shared" si="1"/>
        <v>26765</v>
      </c>
    </row>
    <row r="19" spans="1:6" x14ac:dyDescent="0.45">
      <c r="A19" s="2">
        <v>44229</v>
      </c>
      <c r="B19" t="s">
        <v>8</v>
      </c>
      <c r="C19" t="str">
        <f>VLOOKUP($B19,Sheet2!$A:$C,2,0)</f>
        <v>名前08</v>
      </c>
      <c r="D19" s="1">
        <f>VLOOKUP($B19,Sheet2!$A:$C,3,0)</f>
        <v>437</v>
      </c>
      <c r="E19" s="1">
        <v>47</v>
      </c>
      <c r="F19" s="1">
        <f t="shared" si="1"/>
        <v>20539</v>
      </c>
    </row>
    <row r="20" spans="1:6" x14ac:dyDescent="0.45">
      <c r="A20" s="2">
        <v>44229</v>
      </c>
      <c r="B20" t="s">
        <v>9</v>
      </c>
      <c r="C20" t="str">
        <f>VLOOKUP($B20,Sheet2!$A:$C,2,0)</f>
        <v>名前09</v>
      </c>
      <c r="D20" s="1">
        <f>VLOOKUP($B20,Sheet2!$A:$C,3,0)</f>
        <v>1921</v>
      </c>
      <c r="E20" s="1">
        <v>95</v>
      </c>
      <c r="F20" s="1">
        <f t="shared" si="1"/>
        <v>182495</v>
      </c>
    </row>
    <row r="21" spans="1:6" x14ac:dyDescent="0.45">
      <c r="A21" s="2">
        <v>44229</v>
      </c>
      <c r="B21" t="s">
        <v>10</v>
      </c>
      <c r="C21" t="str">
        <f>VLOOKUP($B21,Sheet2!$A:$C,2,0)</f>
        <v>名前10</v>
      </c>
      <c r="D21" s="1">
        <f>VLOOKUP($B21,Sheet2!$A:$C,3,0)</f>
        <v>1200</v>
      </c>
      <c r="E21" s="1">
        <v>80</v>
      </c>
      <c r="F21" s="1">
        <f t="shared" si="1"/>
        <v>96000</v>
      </c>
    </row>
    <row r="22" spans="1:6" x14ac:dyDescent="0.45">
      <c r="A22" s="2">
        <v>44230</v>
      </c>
      <c r="B22" t="s">
        <v>1</v>
      </c>
      <c r="C22" t="str">
        <f>VLOOKUP($B22,Sheet2!$A:$C,2,0)</f>
        <v>名前01</v>
      </c>
      <c r="D22" s="1">
        <f>VLOOKUP($B22,Sheet2!$A:$C,3,0)</f>
        <v>1981</v>
      </c>
      <c r="E22" s="1">
        <v>5</v>
      </c>
      <c r="F22" s="1">
        <f>D22*E22</f>
        <v>9905</v>
      </c>
    </row>
    <row r="23" spans="1:6" x14ac:dyDescent="0.45">
      <c r="A23" s="2">
        <v>44230</v>
      </c>
      <c r="B23" t="s">
        <v>2</v>
      </c>
      <c r="C23" t="str">
        <f>VLOOKUP($B23,Sheet2!$A:$C,2,0)</f>
        <v>名前02</v>
      </c>
      <c r="D23" s="1">
        <f>VLOOKUP($B23,Sheet2!$A:$C,3,0)</f>
        <v>315</v>
      </c>
      <c r="E23" s="1">
        <v>12</v>
      </c>
      <c r="F23" s="1">
        <f t="shared" ref="F23:F31" si="2">D23*E23</f>
        <v>3780</v>
      </c>
    </row>
    <row r="24" spans="1:6" x14ac:dyDescent="0.45">
      <c r="A24" s="2">
        <v>44230</v>
      </c>
      <c r="B24" t="s">
        <v>3</v>
      </c>
      <c r="C24" t="str">
        <f>VLOOKUP($B24,Sheet2!$A:$C,2,0)</f>
        <v>名前03</v>
      </c>
      <c r="D24" s="1">
        <f>VLOOKUP($B24,Sheet2!$A:$C,3,0)</f>
        <v>1780</v>
      </c>
      <c r="E24" s="1">
        <v>90</v>
      </c>
      <c r="F24" s="1">
        <f t="shared" si="2"/>
        <v>160200</v>
      </c>
    </row>
    <row r="25" spans="1:6" x14ac:dyDescent="0.45">
      <c r="A25" s="2">
        <v>44230</v>
      </c>
      <c r="B25" t="s">
        <v>4</v>
      </c>
      <c r="C25" t="str">
        <f>VLOOKUP($B25,Sheet2!$A:$C,2,0)</f>
        <v>名前04</v>
      </c>
      <c r="D25" s="1">
        <f>VLOOKUP($B25,Sheet2!$A:$C,3,0)</f>
        <v>1937</v>
      </c>
      <c r="E25" s="1">
        <v>47</v>
      </c>
      <c r="F25" s="1">
        <f t="shared" si="2"/>
        <v>91039</v>
      </c>
    </row>
    <row r="26" spans="1:6" x14ac:dyDescent="0.45">
      <c r="A26" s="2">
        <v>44230</v>
      </c>
      <c r="B26" t="s">
        <v>5</v>
      </c>
      <c r="C26" t="str">
        <f>VLOOKUP($B26,Sheet2!$A:$C,2,0)</f>
        <v>名前05</v>
      </c>
      <c r="D26" s="1">
        <f>VLOOKUP($B26,Sheet2!$A:$C,3,0)</f>
        <v>1436</v>
      </c>
      <c r="E26" s="1">
        <v>28</v>
      </c>
      <c r="F26" s="1">
        <f t="shared" si="2"/>
        <v>40208</v>
      </c>
    </row>
    <row r="27" spans="1:6" x14ac:dyDescent="0.45">
      <c r="A27" s="2">
        <v>44230</v>
      </c>
      <c r="B27" t="s">
        <v>6</v>
      </c>
      <c r="C27" t="str">
        <f>VLOOKUP($B27,Sheet2!$A:$C,2,0)</f>
        <v>名前06</v>
      </c>
      <c r="D27" s="1">
        <f>VLOOKUP($B27,Sheet2!$A:$C,3,0)</f>
        <v>1884</v>
      </c>
      <c r="E27" s="1">
        <v>21</v>
      </c>
      <c r="F27" s="1">
        <f t="shared" si="2"/>
        <v>39564</v>
      </c>
    </row>
    <row r="28" spans="1:6" x14ac:dyDescent="0.45">
      <c r="A28" s="2">
        <v>44230</v>
      </c>
      <c r="B28" t="s">
        <v>7</v>
      </c>
      <c r="C28" t="str">
        <f>VLOOKUP($B28,Sheet2!$A:$C,2,0)</f>
        <v>名前07</v>
      </c>
      <c r="D28" s="1">
        <f>VLOOKUP($B28,Sheet2!$A:$C,3,0)</f>
        <v>505</v>
      </c>
      <c r="E28" s="1">
        <v>95</v>
      </c>
      <c r="F28" s="1">
        <f t="shared" si="2"/>
        <v>47975</v>
      </c>
    </row>
    <row r="29" spans="1:6" x14ac:dyDescent="0.45">
      <c r="A29" s="2">
        <v>44230</v>
      </c>
      <c r="B29" t="s">
        <v>8</v>
      </c>
      <c r="C29" t="str">
        <f>VLOOKUP($B29,Sheet2!$A:$C,2,0)</f>
        <v>名前08</v>
      </c>
      <c r="D29" s="1">
        <f>VLOOKUP($B29,Sheet2!$A:$C,3,0)</f>
        <v>437</v>
      </c>
      <c r="E29" s="1">
        <v>37</v>
      </c>
      <c r="F29" s="1">
        <f t="shared" si="2"/>
        <v>16169</v>
      </c>
    </row>
    <row r="30" spans="1:6" x14ac:dyDescent="0.45">
      <c r="A30" s="2">
        <v>44230</v>
      </c>
      <c r="B30" t="s">
        <v>9</v>
      </c>
      <c r="C30" t="str">
        <f>VLOOKUP($B30,Sheet2!$A:$C,2,0)</f>
        <v>名前09</v>
      </c>
      <c r="D30" s="1">
        <f>VLOOKUP($B30,Sheet2!$A:$C,3,0)</f>
        <v>1921</v>
      </c>
      <c r="E30" s="1">
        <v>35</v>
      </c>
      <c r="F30" s="1">
        <f t="shared" si="2"/>
        <v>67235</v>
      </c>
    </row>
    <row r="31" spans="1:6" x14ac:dyDescent="0.45">
      <c r="A31" s="2">
        <v>44230</v>
      </c>
      <c r="B31" t="s">
        <v>10</v>
      </c>
      <c r="C31" t="str">
        <f>VLOOKUP($B31,Sheet2!$A:$C,2,0)</f>
        <v>名前10</v>
      </c>
      <c r="D31" s="1">
        <f>VLOOKUP($B31,Sheet2!$A:$C,3,0)</f>
        <v>1200</v>
      </c>
      <c r="E31" s="1">
        <v>21</v>
      </c>
      <c r="F31" s="1">
        <f t="shared" si="2"/>
        <v>25200</v>
      </c>
    </row>
    <row r="32" spans="1:6" x14ac:dyDescent="0.45">
      <c r="A32" s="2">
        <v>44231</v>
      </c>
      <c r="B32" t="s">
        <v>1</v>
      </c>
      <c r="C32" t="str">
        <f>VLOOKUP($B32,Sheet2!$A:$C,2,0)</f>
        <v>名前01</v>
      </c>
      <c r="D32" s="1">
        <f>VLOOKUP($B32,Sheet2!$A:$C,3,0)</f>
        <v>1981</v>
      </c>
      <c r="E32" s="1">
        <v>21</v>
      </c>
      <c r="F32" s="1">
        <f>D32*E32</f>
        <v>41601</v>
      </c>
    </row>
    <row r="33" spans="1:6" x14ac:dyDescent="0.45">
      <c r="A33" s="2">
        <v>44231</v>
      </c>
      <c r="B33" t="s">
        <v>2</v>
      </c>
      <c r="C33" t="str">
        <f>VLOOKUP($B33,Sheet2!$A:$C,2,0)</f>
        <v>名前02</v>
      </c>
      <c r="D33" s="1">
        <f>VLOOKUP($B33,Sheet2!$A:$C,3,0)</f>
        <v>315</v>
      </c>
      <c r="E33" s="1">
        <v>28</v>
      </c>
      <c r="F33" s="1">
        <f t="shared" ref="F33:F41" si="3">D33*E33</f>
        <v>8820</v>
      </c>
    </row>
    <row r="34" spans="1:6" x14ac:dyDescent="0.45">
      <c r="A34" s="2">
        <v>44231</v>
      </c>
      <c r="B34" t="s">
        <v>3</v>
      </c>
      <c r="C34" t="str">
        <f>VLOOKUP($B34,Sheet2!$A:$C,2,0)</f>
        <v>名前03</v>
      </c>
      <c r="D34" s="1">
        <f>VLOOKUP($B34,Sheet2!$A:$C,3,0)</f>
        <v>1780</v>
      </c>
      <c r="E34" s="1">
        <v>73</v>
      </c>
      <c r="F34" s="1">
        <f t="shared" si="3"/>
        <v>129940</v>
      </c>
    </row>
    <row r="35" spans="1:6" x14ac:dyDescent="0.45">
      <c r="A35" s="2">
        <v>44231</v>
      </c>
      <c r="B35" t="s">
        <v>4</v>
      </c>
      <c r="C35" t="str">
        <f>VLOOKUP($B35,Sheet2!$A:$C,2,0)</f>
        <v>名前04</v>
      </c>
      <c r="D35" s="1">
        <f>VLOOKUP($B35,Sheet2!$A:$C,3,0)</f>
        <v>1937</v>
      </c>
      <c r="E35" s="1">
        <v>34</v>
      </c>
      <c r="F35" s="1">
        <f t="shared" si="3"/>
        <v>65858</v>
      </c>
    </row>
    <row r="36" spans="1:6" x14ac:dyDescent="0.45">
      <c r="A36" s="2">
        <v>44231</v>
      </c>
      <c r="B36" t="s">
        <v>5</v>
      </c>
      <c r="C36" t="str">
        <f>VLOOKUP($B36,Sheet2!$A:$C,2,0)</f>
        <v>名前05</v>
      </c>
      <c r="D36" s="1">
        <f>VLOOKUP($B36,Sheet2!$A:$C,3,0)</f>
        <v>1436</v>
      </c>
      <c r="E36" s="1">
        <v>30</v>
      </c>
      <c r="F36" s="1">
        <f t="shared" si="3"/>
        <v>43080</v>
      </c>
    </row>
    <row r="37" spans="1:6" x14ac:dyDescent="0.45">
      <c r="A37" s="2">
        <v>44231</v>
      </c>
      <c r="B37" t="s">
        <v>6</v>
      </c>
      <c r="C37" t="str">
        <f>VLOOKUP($B37,Sheet2!$A:$C,2,0)</f>
        <v>名前06</v>
      </c>
      <c r="D37" s="1">
        <f>VLOOKUP($B37,Sheet2!$A:$C,3,0)</f>
        <v>1884</v>
      </c>
      <c r="E37" s="1">
        <v>82</v>
      </c>
      <c r="F37" s="1">
        <f t="shared" si="3"/>
        <v>154488</v>
      </c>
    </row>
    <row r="38" spans="1:6" x14ac:dyDescent="0.45">
      <c r="A38" s="2">
        <v>44231</v>
      </c>
      <c r="B38" t="s">
        <v>7</v>
      </c>
      <c r="C38" t="str">
        <f>VLOOKUP($B38,Sheet2!$A:$C,2,0)</f>
        <v>名前07</v>
      </c>
      <c r="D38" s="1">
        <f>VLOOKUP($B38,Sheet2!$A:$C,3,0)</f>
        <v>505</v>
      </c>
      <c r="E38" s="1">
        <v>58</v>
      </c>
      <c r="F38" s="1">
        <f t="shared" si="3"/>
        <v>29290</v>
      </c>
    </row>
    <row r="39" spans="1:6" x14ac:dyDescent="0.45">
      <c r="A39" s="2">
        <v>44231</v>
      </c>
      <c r="B39" t="s">
        <v>8</v>
      </c>
      <c r="C39" t="str">
        <f>VLOOKUP($B39,Sheet2!$A:$C,2,0)</f>
        <v>名前08</v>
      </c>
      <c r="D39" s="1">
        <f>VLOOKUP($B39,Sheet2!$A:$C,3,0)</f>
        <v>437</v>
      </c>
      <c r="E39" s="1">
        <v>86</v>
      </c>
      <c r="F39" s="1">
        <f t="shared" si="3"/>
        <v>37582</v>
      </c>
    </row>
    <row r="40" spans="1:6" x14ac:dyDescent="0.45">
      <c r="A40" s="2">
        <v>44231</v>
      </c>
      <c r="B40" t="s">
        <v>9</v>
      </c>
      <c r="C40" t="str">
        <f>VLOOKUP($B40,Sheet2!$A:$C,2,0)</f>
        <v>名前09</v>
      </c>
      <c r="D40" s="1">
        <f>VLOOKUP($B40,Sheet2!$A:$C,3,0)</f>
        <v>1921</v>
      </c>
      <c r="E40" s="1">
        <v>64</v>
      </c>
      <c r="F40" s="1">
        <f t="shared" si="3"/>
        <v>122944</v>
      </c>
    </row>
    <row r="41" spans="1:6" x14ac:dyDescent="0.45">
      <c r="A41" s="2">
        <v>44231</v>
      </c>
      <c r="B41" t="s">
        <v>10</v>
      </c>
      <c r="C41" t="str">
        <f>VLOOKUP($B41,Sheet2!$A:$C,2,0)</f>
        <v>名前10</v>
      </c>
      <c r="D41" s="1">
        <f>VLOOKUP($B41,Sheet2!$A:$C,3,0)</f>
        <v>1200</v>
      </c>
      <c r="E41" s="1">
        <v>25</v>
      </c>
      <c r="F41" s="1">
        <f t="shared" si="3"/>
        <v>30000</v>
      </c>
    </row>
    <row r="42" spans="1:6" x14ac:dyDescent="0.45">
      <c r="A42" s="2">
        <v>44232</v>
      </c>
      <c r="B42" t="s">
        <v>1</v>
      </c>
      <c r="C42" t="str">
        <f>VLOOKUP($B42,Sheet2!$A:$C,2,0)</f>
        <v>名前01</v>
      </c>
      <c r="D42" s="1">
        <f>VLOOKUP($B42,Sheet2!$A:$C,3,0)</f>
        <v>1981</v>
      </c>
      <c r="E42" s="1">
        <v>30</v>
      </c>
      <c r="F42" s="1">
        <f>D42*E42</f>
        <v>59430</v>
      </c>
    </row>
    <row r="43" spans="1:6" x14ac:dyDescent="0.45">
      <c r="A43" s="2">
        <v>44232</v>
      </c>
      <c r="B43" t="s">
        <v>2</v>
      </c>
      <c r="C43" t="str">
        <f>VLOOKUP($B43,Sheet2!$A:$C,2,0)</f>
        <v>名前02</v>
      </c>
      <c r="D43" s="1">
        <f>VLOOKUP($B43,Sheet2!$A:$C,3,0)</f>
        <v>315</v>
      </c>
      <c r="E43" s="1">
        <v>93</v>
      </c>
      <c r="F43" s="1">
        <f t="shared" ref="F43:F51" si="4">D43*E43</f>
        <v>29295</v>
      </c>
    </row>
    <row r="44" spans="1:6" x14ac:dyDescent="0.45">
      <c r="A44" s="2">
        <v>44232</v>
      </c>
      <c r="B44" t="s">
        <v>3</v>
      </c>
      <c r="C44" t="str">
        <f>VLOOKUP($B44,Sheet2!$A:$C,2,0)</f>
        <v>名前03</v>
      </c>
      <c r="D44" s="1">
        <f>VLOOKUP($B44,Sheet2!$A:$C,3,0)</f>
        <v>1780</v>
      </c>
      <c r="E44" s="1">
        <v>90</v>
      </c>
      <c r="F44" s="1">
        <f t="shared" si="4"/>
        <v>160200</v>
      </c>
    </row>
    <row r="45" spans="1:6" x14ac:dyDescent="0.45">
      <c r="A45" s="2">
        <v>44232</v>
      </c>
      <c r="B45" t="s">
        <v>4</v>
      </c>
      <c r="C45" t="str">
        <f>VLOOKUP($B45,Sheet2!$A:$C,2,0)</f>
        <v>名前04</v>
      </c>
      <c r="D45" s="1">
        <f>VLOOKUP($B45,Sheet2!$A:$C,3,0)</f>
        <v>1937</v>
      </c>
      <c r="E45" s="1">
        <v>90</v>
      </c>
      <c r="F45" s="1">
        <f t="shared" si="4"/>
        <v>174330</v>
      </c>
    </row>
    <row r="46" spans="1:6" x14ac:dyDescent="0.45">
      <c r="A46" s="2">
        <v>44232</v>
      </c>
      <c r="B46" t="s">
        <v>5</v>
      </c>
      <c r="C46" t="str">
        <f>VLOOKUP($B46,Sheet2!$A:$C,2,0)</f>
        <v>名前05</v>
      </c>
      <c r="D46" s="1">
        <f>VLOOKUP($B46,Sheet2!$A:$C,3,0)</f>
        <v>1436</v>
      </c>
      <c r="E46" s="1">
        <v>87</v>
      </c>
      <c r="F46" s="1">
        <f t="shared" si="4"/>
        <v>124932</v>
      </c>
    </row>
    <row r="47" spans="1:6" x14ac:dyDescent="0.45">
      <c r="A47" s="2">
        <v>44232</v>
      </c>
      <c r="B47" t="s">
        <v>6</v>
      </c>
      <c r="C47" t="str">
        <f>VLOOKUP($B47,Sheet2!$A:$C,2,0)</f>
        <v>名前06</v>
      </c>
      <c r="D47" s="1">
        <f>VLOOKUP($B47,Sheet2!$A:$C,3,0)</f>
        <v>1884</v>
      </c>
      <c r="E47" s="1">
        <v>15</v>
      </c>
      <c r="F47" s="1">
        <f t="shared" si="4"/>
        <v>28260</v>
      </c>
    </row>
    <row r="48" spans="1:6" x14ac:dyDescent="0.45">
      <c r="A48" s="2">
        <v>44232</v>
      </c>
      <c r="B48" t="s">
        <v>7</v>
      </c>
      <c r="C48" t="str">
        <f>VLOOKUP($B48,Sheet2!$A:$C,2,0)</f>
        <v>名前07</v>
      </c>
      <c r="D48" s="1">
        <f>VLOOKUP($B48,Sheet2!$A:$C,3,0)</f>
        <v>505</v>
      </c>
      <c r="E48" s="1">
        <v>13</v>
      </c>
      <c r="F48" s="1">
        <f t="shared" si="4"/>
        <v>6565</v>
      </c>
    </row>
    <row r="49" spans="1:6" x14ac:dyDescent="0.45">
      <c r="A49" s="2">
        <v>44232</v>
      </c>
      <c r="B49" t="s">
        <v>8</v>
      </c>
      <c r="C49" t="str">
        <f>VLOOKUP($B49,Sheet2!$A:$C,2,0)</f>
        <v>名前08</v>
      </c>
      <c r="D49" s="1">
        <f>VLOOKUP($B49,Sheet2!$A:$C,3,0)</f>
        <v>437</v>
      </c>
      <c r="E49" s="1">
        <v>78</v>
      </c>
      <c r="F49" s="1">
        <f t="shared" si="4"/>
        <v>34086</v>
      </c>
    </row>
    <row r="50" spans="1:6" x14ac:dyDescent="0.45">
      <c r="A50" s="2">
        <v>44232</v>
      </c>
      <c r="B50" t="s">
        <v>9</v>
      </c>
      <c r="C50" t="str">
        <f>VLOOKUP($B50,Sheet2!$A:$C,2,0)</f>
        <v>名前09</v>
      </c>
      <c r="D50" s="1">
        <f>VLOOKUP($B50,Sheet2!$A:$C,3,0)</f>
        <v>1921</v>
      </c>
      <c r="E50" s="1">
        <v>98</v>
      </c>
      <c r="F50" s="1">
        <f t="shared" si="4"/>
        <v>188258</v>
      </c>
    </row>
    <row r="51" spans="1:6" x14ac:dyDescent="0.45">
      <c r="A51" s="2">
        <v>44232</v>
      </c>
      <c r="B51" t="s">
        <v>10</v>
      </c>
      <c r="C51" t="str">
        <f>VLOOKUP($B51,Sheet2!$A:$C,2,0)</f>
        <v>名前10</v>
      </c>
      <c r="D51" s="1">
        <f>VLOOKUP($B51,Sheet2!$A:$C,3,0)</f>
        <v>1200</v>
      </c>
      <c r="E51" s="1">
        <v>7</v>
      </c>
      <c r="F51" s="1">
        <f t="shared" si="4"/>
        <v>8400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CA1-513D-430B-BBE7-F126829A227A}">
  <sheetPr codeName="Sheet4"/>
  <dimension ref="A1:L9"/>
  <sheetViews>
    <sheetView workbookViewId="0"/>
  </sheetViews>
  <sheetFormatPr defaultRowHeight="18" x14ac:dyDescent="0.45"/>
  <cols>
    <col min="1" max="1" width="9.19921875" bestFit="1" customWidth="1"/>
    <col min="12" max="12" width="9.3984375" bestFit="1" customWidth="1"/>
  </cols>
  <sheetData>
    <row r="1" spans="1:12" x14ac:dyDescent="0.45"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26</v>
      </c>
    </row>
    <row r="2" spans="1:12" x14ac:dyDescent="0.45">
      <c r="A2" s="2">
        <v>44228</v>
      </c>
      <c r="B2" s="1">
        <f>SUMIFS('Sheet 3'!$F:$F,'Sheet 3'!$B:$B,B$1,'Sheet 3'!$A:$A,$A2)</f>
        <v>81221</v>
      </c>
      <c r="C2" s="1">
        <f>SUMIFS('Sheet 3'!$F:$F,'Sheet 3'!$B:$B,C$1,'Sheet 3'!$A:$A,$A2)</f>
        <v>15435</v>
      </c>
      <c r="D2" s="1">
        <f>SUMIFS('Sheet 3'!$F:$F,'Sheet 3'!$B:$B,D$1,'Sheet 3'!$A:$A,$A2)</f>
        <v>19580</v>
      </c>
      <c r="E2" s="1">
        <f>SUMIFS('Sheet 3'!$F:$F,'Sheet 3'!$B:$B,E$1,'Sheet 3'!$A:$A,$A2)</f>
        <v>29055</v>
      </c>
      <c r="F2" s="1">
        <f>SUMIFS('Sheet 3'!$F:$F,'Sheet 3'!$B:$B,F$1,'Sheet 3'!$A:$A,$A2)</f>
        <v>83288</v>
      </c>
      <c r="G2" s="1">
        <f>SUMIFS('Sheet 3'!$F:$F,'Sheet 3'!$B:$B,G$1,'Sheet 3'!$A:$A,$A2)</f>
        <v>113040</v>
      </c>
      <c r="H2" s="1">
        <f>SUMIFS('Sheet 3'!$F:$F,'Sheet 3'!$B:$B,H$1,'Sheet 3'!$A:$A,$A2)</f>
        <v>31815</v>
      </c>
      <c r="I2" s="1">
        <f>SUMIFS('Sheet 3'!$F:$F,'Sheet 3'!$B:$B,I$1,'Sheet 3'!$A:$A,$A2)</f>
        <v>41515</v>
      </c>
      <c r="J2" s="1">
        <f>SUMIFS('Sheet 3'!$F:$F,'Sheet 3'!$B:$B,J$1,'Sheet 3'!$A:$A,$A2)</f>
        <v>161364</v>
      </c>
      <c r="K2" s="1">
        <f>SUMIFS('Sheet 3'!$F:$F,'Sheet 3'!$B:$B,K$1,'Sheet 3'!$A:$A,$A2)</f>
        <v>91200</v>
      </c>
      <c r="L2" s="3">
        <f t="shared" ref="L2:L9" si="0">SUM(B2:K2)</f>
        <v>667513</v>
      </c>
    </row>
    <row r="3" spans="1:12" x14ac:dyDescent="0.45">
      <c r="A3" s="2">
        <v>44229</v>
      </c>
      <c r="B3" s="1">
        <f>SUMIFS('Sheet 3'!$F:$F,'Sheet 3'!$B:$B,B$1,'Sheet 3'!$A:$A,$A3)</f>
        <v>27734</v>
      </c>
      <c r="C3" s="1">
        <f>SUMIFS('Sheet 3'!$F:$F,'Sheet 3'!$B:$B,C$1,'Sheet 3'!$A:$A,$A3)</f>
        <v>5985</v>
      </c>
      <c r="D3" s="1">
        <f>SUMIFS('Sheet 3'!$F:$F,'Sheet 3'!$B:$B,D$1,'Sheet 3'!$A:$A,$A3)</f>
        <v>69420</v>
      </c>
      <c r="E3" s="1">
        <f>SUMIFS('Sheet 3'!$F:$F,'Sheet 3'!$B:$B,E$1,'Sheet 3'!$A:$A,$A3)</f>
        <v>164645</v>
      </c>
      <c r="F3" s="1">
        <f>SUMIFS('Sheet 3'!$F:$F,'Sheet 3'!$B:$B,F$1,'Sheet 3'!$A:$A,$A3)</f>
        <v>119188</v>
      </c>
      <c r="G3" s="1">
        <f>SUMIFS('Sheet 3'!$F:$F,'Sheet 3'!$B:$B,G$1,'Sheet 3'!$A:$A,$A3)</f>
        <v>131880</v>
      </c>
      <c r="H3" s="1">
        <f>SUMIFS('Sheet 3'!$F:$F,'Sheet 3'!$B:$B,H$1,'Sheet 3'!$A:$A,$A3)</f>
        <v>26765</v>
      </c>
      <c r="I3" s="1">
        <f>SUMIFS('Sheet 3'!$F:$F,'Sheet 3'!$B:$B,I$1,'Sheet 3'!$A:$A,$A3)</f>
        <v>20539</v>
      </c>
      <c r="J3" s="1">
        <f>SUMIFS('Sheet 3'!$F:$F,'Sheet 3'!$B:$B,J$1,'Sheet 3'!$A:$A,$A3)</f>
        <v>182495</v>
      </c>
      <c r="K3" s="1">
        <f>SUMIFS('Sheet 3'!$F:$F,'Sheet 3'!$B:$B,K$1,'Sheet 3'!$A:$A,$A3)</f>
        <v>96000</v>
      </c>
      <c r="L3" s="3">
        <f t="shared" si="0"/>
        <v>844651</v>
      </c>
    </row>
    <row r="4" spans="1:12" x14ac:dyDescent="0.45">
      <c r="A4" s="2">
        <v>44230</v>
      </c>
      <c r="B4" s="1">
        <f>SUMIFS('Sheet 3'!$F:$F,'Sheet 3'!$B:$B,B$1,'Sheet 3'!$A:$A,$A4)</f>
        <v>9905</v>
      </c>
      <c r="C4" s="1">
        <f>SUMIFS('Sheet 3'!$F:$F,'Sheet 3'!$B:$B,C$1,'Sheet 3'!$A:$A,$A4)</f>
        <v>3780</v>
      </c>
      <c r="D4" s="1">
        <f>SUMIFS('Sheet 3'!$F:$F,'Sheet 3'!$B:$B,D$1,'Sheet 3'!$A:$A,$A4)</f>
        <v>160200</v>
      </c>
      <c r="E4" s="1">
        <f>SUMIFS('Sheet 3'!$F:$F,'Sheet 3'!$B:$B,E$1,'Sheet 3'!$A:$A,$A4)</f>
        <v>91039</v>
      </c>
      <c r="F4" s="1">
        <f>SUMIFS('Sheet 3'!$F:$F,'Sheet 3'!$B:$B,F$1,'Sheet 3'!$A:$A,$A4)</f>
        <v>40208</v>
      </c>
      <c r="G4" s="1">
        <f>SUMIFS('Sheet 3'!$F:$F,'Sheet 3'!$B:$B,G$1,'Sheet 3'!$A:$A,$A4)</f>
        <v>39564</v>
      </c>
      <c r="H4" s="1">
        <f>SUMIFS('Sheet 3'!$F:$F,'Sheet 3'!$B:$B,H$1,'Sheet 3'!$A:$A,$A4)</f>
        <v>47975</v>
      </c>
      <c r="I4" s="1">
        <f>SUMIFS('Sheet 3'!$F:$F,'Sheet 3'!$B:$B,I$1,'Sheet 3'!$A:$A,$A4)</f>
        <v>16169</v>
      </c>
      <c r="J4" s="1">
        <f>SUMIFS('Sheet 3'!$F:$F,'Sheet 3'!$B:$B,J$1,'Sheet 3'!$A:$A,$A4)</f>
        <v>67235</v>
      </c>
      <c r="K4" s="1">
        <f>SUMIFS('Sheet 3'!$F:$F,'Sheet 3'!$B:$B,K$1,'Sheet 3'!$A:$A,$A4)</f>
        <v>25200</v>
      </c>
      <c r="L4" s="3">
        <f t="shared" si="0"/>
        <v>501275</v>
      </c>
    </row>
    <row r="5" spans="1:12" x14ac:dyDescent="0.45">
      <c r="A5" s="2">
        <v>44231</v>
      </c>
      <c r="B5" s="1">
        <f>SUMIFS('Sheet 3'!$F:$F,'Sheet 3'!$B:$B,B$1,'Sheet 3'!$A:$A,$A5)</f>
        <v>41601</v>
      </c>
      <c r="C5" s="1">
        <f>SUMIFS('Sheet 3'!$F:$F,'Sheet 3'!$B:$B,C$1,'Sheet 3'!$A:$A,$A5)</f>
        <v>8820</v>
      </c>
      <c r="D5" s="1">
        <f>SUMIFS('Sheet 3'!$F:$F,'Sheet 3'!$B:$B,D$1,'Sheet 3'!$A:$A,$A5)</f>
        <v>129940</v>
      </c>
      <c r="E5" s="1">
        <f>SUMIFS('Sheet 3'!$F:$F,'Sheet 3'!$B:$B,E$1,'Sheet 3'!$A:$A,$A5)</f>
        <v>65858</v>
      </c>
      <c r="F5" s="1">
        <f>SUMIFS('Sheet 3'!$F:$F,'Sheet 3'!$B:$B,F$1,'Sheet 3'!$A:$A,$A5)</f>
        <v>43080</v>
      </c>
      <c r="G5" s="1">
        <f>SUMIFS('Sheet 3'!$F:$F,'Sheet 3'!$B:$B,G$1,'Sheet 3'!$A:$A,$A5)</f>
        <v>154488</v>
      </c>
      <c r="H5" s="1">
        <f>SUMIFS('Sheet 3'!$F:$F,'Sheet 3'!$B:$B,H$1,'Sheet 3'!$A:$A,$A5)</f>
        <v>29290</v>
      </c>
      <c r="I5" s="1">
        <f>SUMIFS('Sheet 3'!$F:$F,'Sheet 3'!$B:$B,I$1,'Sheet 3'!$A:$A,$A5)</f>
        <v>37582</v>
      </c>
      <c r="J5" s="1">
        <f>SUMIFS('Sheet 3'!$F:$F,'Sheet 3'!$B:$B,J$1,'Sheet 3'!$A:$A,$A5)</f>
        <v>122944</v>
      </c>
      <c r="K5" s="1">
        <f>SUMIFS('Sheet 3'!$F:$F,'Sheet 3'!$B:$B,K$1,'Sheet 3'!$A:$A,$A5)</f>
        <v>30000</v>
      </c>
      <c r="L5" s="3">
        <f t="shared" si="0"/>
        <v>663603</v>
      </c>
    </row>
    <row r="6" spans="1:12" x14ac:dyDescent="0.45">
      <c r="A6" s="2">
        <v>44232</v>
      </c>
      <c r="B6" s="1">
        <f>SUMIFS('Sheet 3'!$F:$F,'Sheet 3'!$B:$B,B$1,'Sheet 3'!$A:$A,$A6)</f>
        <v>59430</v>
      </c>
      <c r="C6" s="1">
        <f>SUMIFS('Sheet 3'!$F:$F,'Sheet 3'!$B:$B,C$1,'Sheet 3'!$A:$A,$A6)</f>
        <v>29295</v>
      </c>
      <c r="D6" s="1">
        <f>SUMIFS('Sheet 3'!$F:$F,'Sheet 3'!$B:$B,D$1,'Sheet 3'!$A:$A,$A6)</f>
        <v>160200</v>
      </c>
      <c r="E6" s="1">
        <f>SUMIFS('Sheet 3'!$F:$F,'Sheet 3'!$B:$B,E$1,'Sheet 3'!$A:$A,$A6)</f>
        <v>174330</v>
      </c>
      <c r="F6" s="1">
        <f>SUMIFS('Sheet 3'!$F:$F,'Sheet 3'!$B:$B,F$1,'Sheet 3'!$A:$A,$A6)</f>
        <v>124932</v>
      </c>
      <c r="G6" s="1">
        <f>SUMIFS('Sheet 3'!$F:$F,'Sheet 3'!$B:$B,G$1,'Sheet 3'!$A:$A,$A6)</f>
        <v>28260</v>
      </c>
      <c r="H6" s="1">
        <f>SUMIFS('Sheet 3'!$F:$F,'Sheet 3'!$B:$B,H$1,'Sheet 3'!$A:$A,$A6)</f>
        <v>6565</v>
      </c>
      <c r="I6" s="1">
        <f>SUMIFS('Sheet 3'!$F:$F,'Sheet 3'!$B:$B,I$1,'Sheet 3'!$A:$A,$A6)</f>
        <v>34086</v>
      </c>
      <c r="J6" s="1">
        <f>SUMIFS('Sheet 3'!$F:$F,'Sheet 3'!$B:$B,J$1,'Sheet 3'!$A:$A,$A6)</f>
        <v>188258</v>
      </c>
      <c r="K6" s="1">
        <f>SUMIFS('Sheet 3'!$F:$F,'Sheet 3'!$B:$B,K$1,'Sheet 3'!$A:$A,$A6)</f>
        <v>8400</v>
      </c>
      <c r="L6" s="3">
        <f t="shared" si="0"/>
        <v>813756</v>
      </c>
    </row>
    <row r="7" spans="1:12" x14ac:dyDescent="0.45">
      <c r="A7" t="s">
        <v>26</v>
      </c>
      <c r="B7" s="1">
        <f t="shared" ref="B7:K7" si="1">SUM(B2:B6)</f>
        <v>219891</v>
      </c>
      <c r="C7" s="1">
        <f t="shared" si="1"/>
        <v>63315</v>
      </c>
      <c r="D7" s="1">
        <f t="shared" si="1"/>
        <v>539340</v>
      </c>
      <c r="E7" s="1">
        <f t="shared" si="1"/>
        <v>524927</v>
      </c>
      <c r="F7" s="1">
        <f t="shared" si="1"/>
        <v>410696</v>
      </c>
      <c r="G7" s="1">
        <f t="shared" si="1"/>
        <v>467232</v>
      </c>
      <c r="H7" s="1">
        <f t="shared" si="1"/>
        <v>142410</v>
      </c>
      <c r="I7" s="1">
        <f t="shared" si="1"/>
        <v>149891</v>
      </c>
      <c r="J7" s="1">
        <f t="shared" si="1"/>
        <v>722296</v>
      </c>
      <c r="K7" s="1">
        <f t="shared" si="1"/>
        <v>250800</v>
      </c>
      <c r="L7" s="3">
        <f t="shared" si="0"/>
        <v>3490798</v>
      </c>
    </row>
    <row r="9" spans="1:12" x14ac:dyDescent="0.45">
      <c r="A9" t="s">
        <v>27</v>
      </c>
      <c r="B9" s="1">
        <f>SUMIF(Sheet2!$A:$A,'Sheet 4'!B$1,Sheet2!$D:$D)</f>
        <v>219891</v>
      </c>
      <c r="C9" s="1">
        <f>SUMIF(Sheet2!$A:$A,'Sheet 4'!C$1,Sheet2!$D:$D)</f>
        <v>63315</v>
      </c>
      <c r="D9" s="1">
        <f>SUMIF(Sheet2!$A:$A,'Sheet 4'!D$1,Sheet2!$D:$D)</f>
        <v>539340</v>
      </c>
      <c r="E9" s="1">
        <f>SUMIF(Sheet2!$A:$A,'Sheet 4'!E$1,Sheet2!$D:$D)</f>
        <v>524927</v>
      </c>
      <c r="F9" s="1">
        <f>SUMIF(Sheet2!$A:$A,'Sheet 4'!F$1,Sheet2!$D:$D)</f>
        <v>410696</v>
      </c>
      <c r="G9" s="1">
        <f>SUMIF(Sheet2!$A:$A,'Sheet 4'!G$1,Sheet2!$D:$D)</f>
        <v>467232</v>
      </c>
      <c r="H9" s="1">
        <f>SUMIF(Sheet2!$A:$A,'Sheet 4'!H$1,Sheet2!$D:$D)</f>
        <v>142410</v>
      </c>
      <c r="I9" s="1">
        <f>SUMIF(Sheet2!$A:$A,'Sheet 4'!I$1,Sheet2!$D:$D)</f>
        <v>149891</v>
      </c>
      <c r="J9" s="1">
        <f>SUMIF(Sheet2!$A:$A,'Sheet 4'!J$1,Sheet2!$D:$D)</f>
        <v>722296</v>
      </c>
      <c r="K9" s="1">
        <f>SUMIF(Sheet2!$A:$A,'Sheet 4'!K$1,Sheet2!$D:$D)</f>
        <v>250800</v>
      </c>
      <c r="L9" s="3">
        <f t="shared" si="0"/>
        <v>3490798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57959-F2F3-4297-88E6-8D002D994F06}">
  <sheetPr codeName="Sheet5"/>
  <dimension ref="A1:D2"/>
  <sheetViews>
    <sheetView workbookViewId="0">
      <selection activeCell="A2" sqref="A2"/>
    </sheetView>
  </sheetViews>
  <sheetFormatPr defaultRowHeight="18" x14ac:dyDescent="0.45"/>
  <sheetData>
    <row r="1" spans="1:4" x14ac:dyDescent="0.45">
      <c r="B1" t="s">
        <v>12</v>
      </c>
      <c r="C1" t="s">
        <v>11</v>
      </c>
      <c r="D1" t="s">
        <v>24</v>
      </c>
    </row>
    <row r="2" spans="1:4" x14ac:dyDescent="0.45">
      <c r="A2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相関表</vt:lpstr>
      <vt:lpstr>Sheet1</vt:lpstr>
      <vt:lpstr>Sheet2</vt:lpstr>
      <vt:lpstr>Sheet 3</vt:lpstr>
      <vt:lpstr>Sheet 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2021-02-11T06:08:31Z</dcterms:created>
  <dcterms:modified xsi:type="dcterms:W3CDTF">2021-02-13T05:36:14Z</dcterms:modified>
</cp:coreProperties>
</file>