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o\Desktop\"/>
    </mc:Choice>
  </mc:AlternateContent>
  <xr:revisionPtr revIDLastSave="0" documentId="8_{DA27B5D6-8390-44A3-90C3-D4BDB9F1072E}" xr6:coauthVersionLast="46" xr6:coauthVersionMax="46" xr10:uidLastSave="{00000000-0000-0000-0000-000000000000}"/>
  <bookViews>
    <workbookView xWindow="1464" yWindow="1464" windowWidth="17280" windowHeight="7596" xr2:uid="{CDF3CB6B-6B49-4ACE-94E3-E6689179C60B}"/>
  </bookViews>
  <sheets>
    <sheet name="入金予定" sheetId="1" r:id="rId1"/>
    <sheet name="取引先マスタ" sheetId="2" r:id="rId2"/>
    <sheet name="支払パターン" sheetId="3" r:id="rId3"/>
    <sheet name="祝日マスタ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<sst xmlns="http://schemas.openxmlformats.org/spreadsheetml/2006/main" count="160" uniqueCount="82">
  <si>
    <t>請求日</t>
    <rPh sb="0" eb="2">
      <t>セイキュウ</t>
    </rPh>
    <rPh sb="2" eb="3">
      <t>ビ</t>
    </rPh>
    <phoneticPr fontId="1"/>
  </si>
  <si>
    <t>取引先</t>
    <rPh sb="0" eb="2">
      <t>トリヒキ</t>
    </rPh>
    <rPh sb="2" eb="3">
      <t>サキ</t>
    </rPh>
    <phoneticPr fontId="1"/>
  </si>
  <si>
    <t>入金予定日</t>
    <rPh sb="0" eb="2">
      <t>ニュウキン</t>
    </rPh>
    <rPh sb="2" eb="4">
      <t>ヨテイ</t>
    </rPh>
    <rPh sb="4" eb="5">
      <t>ビ</t>
    </rPh>
    <phoneticPr fontId="1"/>
  </si>
  <si>
    <t>取引先名</t>
    <rPh sb="0" eb="2">
      <t>トリヒキ</t>
    </rPh>
    <rPh sb="2" eb="3">
      <t>サキ</t>
    </rPh>
    <rPh sb="3" eb="4">
      <t>メイ</t>
    </rPh>
    <phoneticPr fontId="1"/>
  </si>
  <si>
    <t>T0001</t>
    <phoneticPr fontId="1"/>
  </si>
  <si>
    <t>T0002</t>
  </si>
  <si>
    <t>T0003</t>
  </si>
  <si>
    <t>T0004</t>
  </si>
  <si>
    <t>T0005</t>
  </si>
  <si>
    <t>株式会社100本ノック</t>
    <rPh sb="0" eb="4">
      <t>カブシキガイシャ</t>
    </rPh>
    <rPh sb="7" eb="8">
      <t>ホン</t>
    </rPh>
    <phoneticPr fontId="1"/>
  </si>
  <si>
    <t>株式会社マクロ</t>
    <rPh sb="0" eb="4">
      <t>カブシキガイシャ</t>
    </rPh>
    <phoneticPr fontId="1"/>
  </si>
  <si>
    <t>株式会社VBA</t>
    <rPh sb="0" eb="4">
      <t>カブシキガイシャ</t>
    </rPh>
    <phoneticPr fontId="1"/>
  </si>
  <si>
    <t>有限会社エクセル</t>
    <rPh sb="0" eb="4">
      <t>ユウゲンガイシャ</t>
    </rPh>
    <phoneticPr fontId="1"/>
  </si>
  <si>
    <t>Excel合同会社</t>
    <phoneticPr fontId="1"/>
  </si>
  <si>
    <t>締め日</t>
    <phoneticPr fontId="1"/>
  </si>
  <si>
    <t>支払月</t>
    <phoneticPr fontId="1"/>
  </si>
  <si>
    <t>支払日</t>
    <phoneticPr fontId="1"/>
  </si>
  <si>
    <t>支払パターン</t>
    <rPh sb="0" eb="2">
      <t>シハライ</t>
    </rPh>
    <phoneticPr fontId="1"/>
  </si>
  <si>
    <t>P01</t>
    <phoneticPr fontId="1"/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</si>
  <si>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</si>
  <si>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</si>
  <si>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</si>
  <si>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</si>
  <si>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</si>
  <si>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</si>
  <si>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</si>
  <si>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</si>
  <si>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</si>
  <si>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末</t>
  </si>
  <si>
    <t>末</t>
    <rPh sb="0" eb="1">
      <t>マツ</t>
    </rPh>
    <phoneticPr fontId="1"/>
  </si>
  <si>
    <t>1月後</t>
  </si>
  <si>
    <t>2月後</t>
  </si>
  <si>
    <t>3月後</t>
  </si>
  <si>
    <t>4月後</t>
  </si>
  <si>
    <t>6月後</t>
  </si>
  <si>
    <t>0月後</t>
  </si>
  <si>
    <t>T0006</t>
  </si>
  <si>
    <t>T0007</t>
  </si>
  <si>
    <t>T0008</t>
  </si>
  <si>
    <t>T0009</t>
  </si>
  <si>
    <t>T0010</t>
  </si>
  <si>
    <t>取引先名06</t>
    <rPh sb="0" eb="2">
      <t>トリヒキ</t>
    </rPh>
    <rPh sb="2" eb="3">
      <t>サキ</t>
    </rPh>
    <rPh sb="3" eb="4">
      <t>メイ</t>
    </rPh>
    <phoneticPr fontId="1"/>
  </si>
  <si>
    <t>取引先名07</t>
    <rPh sb="0" eb="2">
      <t>トリヒキ</t>
    </rPh>
    <rPh sb="2" eb="3">
      <t>サキ</t>
    </rPh>
    <rPh sb="3" eb="4">
      <t>メイ</t>
    </rPh>
    <phoneticPr fontId="1"/>
  </si>
  <si>
    <t>取引先名08</t>
    <rPh sb="0" eb="2">
      <t>トリヒキ</t>
    </rPh>
    <rPh sb="2" eb="3">
      <t>サキ</t>
    </rPh>
    <rPh sb="3" eb="4">
      <t>メイ</t>
    </rPh>
    <phoneticPr fontId="1"/>
  </si>
  <si>
    <t>取引先名09</t>
    <rPh sb="0" eb="2">
      <t>トリヒキ</t>
    </rPh>
    <rPh sb="2" eb="3">
      <t>サキ</t>
    </rPh>
    <rPh sb="3" eb="4">
      <t>メイ</t>
    </rPh>
    <phoneticPr fontId="1"/>
  </si>
  <si>
    <t>取引先名10</t>
    <rPh sb="0" eb="2">
      <t>トリヒキ</t>
    </rPh>
    <rPh sb="2" eb="3">
      <t>サキ</t>
    </rPh>
    <rPh sb="3" eb="4">
      <t>メイ</t>
    </rPh>
    <phoneticPr fontId="1"/>
  </si>
  <si>
    <t>日付</t>
  </si>
  <si>
    <t>祝日名</t>
  </si>
  <si>
    <t>曜日</t>
  </si>
  <si>
    <t>元日</t>
  </si>
  <si>
    <t>日</t>
  </si>
  <si>
    <t>振替休日</t>
  </si>
  <si>
    <t>月</t>
  </si>
  <si>
    <t>成人の日</t>
  </si>
  <si>
    <t>建国記念の日</t>
  </si>
  <si>
    <t>土</t>
  </si>
  <si>
    <t>春分の日</t>
  </si>
  <si>
    <t>昭和の日</t>
  </si>
  <si>
    <t>憲法記念日</t>
  </si>
  <si>
    <t>水</t>
  </si>
  <si>
    <t>みどりの日</t>
  </si>
  <si>
    <t>木</t>
  </si>
  <si>
    <t>こどもの日</t>
  </si>
  <si>
    <t>金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</si>
  <si>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</si>
  <si>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</si>
  <si>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</si>
  <si>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</si>
  <si>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</si>
  <si>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</si>
  <si>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</si>
  <si>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火</t>
  </si>
  <si>
    <t>スポーツの日</t>
  </si>
  <si>
    <t>ここに</t>
    <phoneticPr fontId="1"/>
  </si>
  <si>
    <t>入れる</t>
    <rPh sb="0" eb="1">
      <t>イ</t>
    </rPh>
    <phoneticPr fontId="1"/>
  </si>
  <si>
    <t>ユーザー</t>
    <phoneticPr fontId="1"/>
  </si>
  <si>
    <t>定義関数</t>
    <rPh sb="0" eb="2">
      <t>テイギ</t>
    </rPh>
    <rPh sb="2" eb="4">
      <t>カンスウ</t>
    </rPh>
    <phoneticPr fontId="1"/>
  </si>
  <si>
    <t>ください。</t>
    <phoneticPr fontId="1"/>
  </si>
  <si>
    <t>適当に変更</t>
    <rPh sb="0" eb="2">
      <t>テキトウ</t>
    </rPh>
    <rPh sb="3" eb="5">
      <t>ヘンコウ</t>
    </rPh>
    <phoneticPr fontId="1"/>
  </si>
  <si>
    <t>してテスト</t>
    <phoneticPr fontId="1"/>
  </si>
  <si>
    <t>してください</t>
    <phoneticPr fontId="1"/>
  </si>
  <si>
    <t>を作成して</t>
    <rPh sb="1" eb="3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</si>
</sst>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9E3A-E646-4C20-B4AE-F1B0D3856E72}">
  <sheetPr codeName="Sheet1"/>
  <dimension ref="A1:D11"/>
  <sheetViews>
    <sheetView tabSelected="1" zoomScale="85" zoomScaleNormal="85" workbookViewId="0"/>
  </sheetViews>
  <sheetFormatPr defaultRowHeight="18" x14ac:dyDescent="0.45"/>
  <cols>
    <col min="2" max="2" width="19.59765625" bestFit="1" customWidth="1"/>
    <col min="3" max="4" width="11.296875" style="1" bestFit="1" customWidth="1"/>
  </cols>
  <sheetData>
    <row r="1" spans="1:4" x14ac:dyDescent="0.45">
      <c r="A1" t="s">
        <v>1</v>
      </c>
      <c r="B1" t="s">
        <v>3</v>
      </c>
      <c r="C1" s="1" t="s">
        <v>0</v>
      </c>
      <c r="D1" s="1" t="s">
        <v>2</v>
      </c>
    </row>
    <row r="2" spans="1:4" x14ac:dyDescent="0.45">
      <c r="A2" t="s">
        <v>4</v>
      </c>
      <c r="B2" t="str">
        <f>VLOOKUP(A2,取引先マスタ!A:B,2,0)</f>
        <v>株式会社100本ノック</v>
      </c>
      <c r="C2" s="1">
        <v>44237</v>
      </c>
      <c r="D2" s="2" t="s">
        <v>73</v>
      </c>
    </row>
    <row r="3" spans="1:4" x14ac:dyDescent="0.45">
      <c r="A3" t="s">
        <v>5</v>
      </c>
      <c r="B3" t="str">
        <f>VLOOKUP(A3,取引先マスタ!A:B,2,0)</f>
        <v>株式会社VBA</v>
      </c>
      <c r="C3" s="1">
        <v>44239</v>
      </c>
      <c r="D3" s="2" t="s">
        <v>74</v>
      </c>
    </row>
    <row r="4" spans="1:4" x14ac:dyDescent="0.45">
      <c r="A4" t="s">
        <v>6</v>
      </c>
      <c r="B4" t="str">
        <f>VLOOKUP(A4,取引先マスタ!A:B,2,0)</f>
        <v>株式会社マクロ</v>
      </c>
      <c r="C4" s="1">
        <v>44241</v>
      </c>
      <c r="D4" s="2" t="s">
        <v>75</v>
      </c>
    </row>
    <row r="5" spans="1:4" x14ac:dyDescent="0.45">
      <c r="A5" t="s">
        <v>7</v>
      </c>
      <c r="B5" t="str">
        <f>VLOOKUP(A5,取引先マスタ!A:B,2,0)</f>
        <v>有限会社エクセル</v>
      </c>
      <c r="C5" s="1">
        <v>44243</v>
      </c>
      <c r="D5" s="2" t="s">
        <v>76</v>
      </c>
    </row>
    <row r="6" spans="1:4" x14ac:dyDescent="0.45">
      <c r="A6" t="s">
        <v>8</v>
      </c>
      <c r="B6" t="str">
        <f>VLOOKUP(A6,取引先マスタ!A:B,2,0)</f>
        <v>Excel合同会社</v>
      </c>
      <c r="C6" s="1">
        <v>44245</v>
      </c>
      <c r="D6" s="2" t="s">
        <v>81</v>
      </c>
    </row>
    <row r="7" spans="1:4" x14ac:dyDescent="0.45">
      <c r="A7" t="s">
        <v>36</v>
      </c>
      <c r="B7" t="str">
        <f>VLOOKUP(A7,取引先マスタ!A:B,2,0)</f>
        <v>取引先名06</v>
      </c>
      <c r="C7" s="1">
        <v>44247</v>
      </c>
      <c r="D7" s="2" t="s">
        <v>77</v>
      </c>
    </row>
    <row r="8" spans="1:4" x14ac:dyDescent="0.45">
      <c r="A8" t="s">
        <v>37</v>
      </c>
      <c r="B8" t="str">
        <f>VLOOKUP(A8,取引先マスタ!A:B,2,0)</f>
        <v>取引先名07</v>
      </c>
      <c r="C8" s="1">
        <v>44249</v>
      </c>
      <c r="D8" s="2"/>
    </row>
    <row r="9" spans="1:4" x14ac:dyDescent="0.45">
      <c r="A9" t="s">
        <v>38</v>
      </c>
      <c r="B9" t="str">
        <f>VLOOKUP(A9,取引先マスタ!A:B,2,0)</f>
        <v>取引先名08</v>
      </c>
      <c r="C9" s="1">
        <v>44251</v>
      </c>
      <c r="D9" s="2" t="s">
        <v>78</v>
      </c>
    </row>
    <row r="10" spans="1:4" x14ac:dyDescent="0.45">
      <c r="A10" t="s">
        <v>39</v>
      </c>
      <c r="B10" t="str">
        <f>VLOOKUP(A10,取引先マスタ!A:B,2,0)</f>
        <v>取引先名09</v>
      </c>
      <c r="C10" s="1">
        <v>44253</v>
      </c>
      <c r="D10" s="2" t="s">
        <v>79</v>
      </c>
    </row>
    <row r="11" spans="1:4" x14ac:dyDescent="0.45">
      <c r="A11" t="s">
        <v>40</v>
      </c>
      <c r="B11" t="str">
        <f>VLOOKUP(A11,取引先マスタ!A:B,2,0)</f>
        <v>取引先名10</v>
      </c>
      <c r="C11" s="1">
        <v>44255</v>
      </c>
      <c r="D11" s="2" t="s">
        <v>80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82B1-A991-436B-96C1-077F59AADEE5}">
  <sheetPr codeName="Sheet2"/>
  <dimension ref="A1:C11"/>
  <sheetViews>
    <sheetView zoomScaleNormal="100" workbookViewId="0"/>
  </sheetViews>
  <sheetFormatPr defaultRowHeight="18" x14ac:dyDescent="0.45"/>
  <cols>
    <col min="2" max="2" width="19.59765625" bestFit="1" customWidth="1"/>
    <col min="3" max="3" width="12.3984375" bestFit="1" customWidth="1"/>
  </cols>
  <sheetData>
    <row r="1" spans="1:3" x14ac:dyDescent="0.45">
      <c r="A1" t="s">
        <v>1</v>
      </c>
      <c r="B1" t="s">
        <v>3</v>
      </c>
      <c r="C1" t="s">
        <v>17</v>
      </c>
    </row>
    <row r="2" spans="1:3" x14ac:dyDescent="0.45">
      <c r="A2" t="s">
        <v>4</v>
      </c>
      <c r="B2" t="s">
        <v>9</v>
      </c>
      <c r="C2" t="s">
        <v>18</v>
      </c>
    </row>
    <row r="3" spans="1:3" x14ac:dyDescent="0.45">
      <c r="A3" t="s">
        <v>5</v>
      </c>
      <c r="B3" t="s">
        <v>11</v>
      </c>
      <c r="C3" t="s">
        <v>19</v>
      </c>
    </row>
    <row r="4" spans="1:3" x14ac:dyDescent="0.45">
      <c r="A4" t="s">
        <v>6</v>
      </c>
      <c r="B4" t="s">
        <v>10</v>
      </c>
      <c r="C4" t="s">
        <v>20</v>
      </c>
    </row>
    <row r="5" spans="1:3" x14ac:dyDescent="0.45">
      <c r="A5" t="s">
        <v>7</v>
      </c>
      <c r="B5" t="s">
        <v>12</v>
      </c>
      <c r="C5" t="s">
        <v>21</v>
      </c>
    </row>
    <row r="6" spans="1:3" x14ac:dyDescent="0.45">
      <c r="A6" t="s">
        <v>8</v>
      </c>
      <c r="B6" t="s">
        <v>13</v>
      </c>
      <c r="C6" t="s">
        <v>22</v>
      </c>
    </row>
    <row r="7" spans="1:3" x14ac:dyDescent="0.45">
      <c r="A7" t="s">
        <v>36</v>
      </c>
      <c r="B7" t="s">
        <v>41</v>
      </c>
      <c r="C7" t="s">
        <v>23</v>
      </c>
    </row>
    <row r="8" spans="1:3" x14ac:dyDescent="0.45">
      <c r="A8" t="s">
        <v>37</v>
      </c>
      <c r="B8" t="s">
        <v>42</v>
      </c>
      <c r="C8" t="s">
        <v>24</v>
      </c>
    </row>
    <row r="9" spans="1:3" x14ac:dyDescent="0.45">
      <c r="A9" t="s">
        <v>38</v>
      </c>
      <c r="B9" t="s">
        <v>43</v>
      </c>
      <c r="C9" t="s">
        <v>25</v>
      </c>
    </row>
    <row r="10" spans="1:3" x14ac:dyDescent="0.45">
      <c r="A10" t="s">
        <v>39</v>
      </c>
      <c r="B10" t="s">
        <v>44</v>
      </c>
      <c r="C10" t="s">
        <v>26</v>
      </c>
    </row>
    <row r="11" spans="1:3" x14ac:dyDescent="0.45">
      <c r="A11" t="s">
        <v>40</v>
      </c>
      <c r="B11" t="s">
        <v>45</v>
      </c>
      <c r="C11" t="s">
        <v>27</v>
      </c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986B51-9D02-4EC3-A646-190F0200542B}">
          <x14:formula1>
            <xm:f>支払パターン!$A:$A</xm:f>
          </x14:formula1>
          <xm:sqref>C2:C11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1F86-8FA1-4C2A-B7F0-92CCBB118907}">
  <sheetPr codeName="Sheet3"/>
  <dimension ref="A1:D11"/>
  <sheetViews>
    <sheetView zoomScaleNormal="100" workbookViewId="0"/>
  </sheetViews>
  <sheetFormatPr defaultRowHeight="18" x14ac:dyDescent="0.45"/>
  <cols>
    <col min="1" max="1" width="12.3984375" bestFit="1" customWidth="1"/>
    <col min="2" max="4" width="7.69921875" customWidth="1"/>
  </cols>
  <sheetData>
    <row r="1" spans="1:4" x14ac:dyDescent="0.45">
      <c r="A1" t="s">
        <v>17</v>
      </c>
      <c r="B1" t="s">
        <v>14</v>
      </c>
      <c r="C1" t="s">
        <v>15</v>
      </c>
      <c r="D1" t="s">
        <v>16</v>
      </c>
    </row>
    <row r="2" spans="1:4" x14ac:dyDescent="0.45">
      <c r="A2" t="s">
        <v>18</v>
      </c>
      <c r="B2" t="s">
        <v>29</v>
      </c>
      <c r="C2" t="s">
        <v>30</v>
      </c>
      <c r="D2" t="s">
        <v>29</v>
      </c>
    </row>
    <row r="3" spans="1:4" x14ac:dyDescent="0.45">
      <c r="A3" t="s">
        <v>19</v>
      </c>
      <c r="B3" t="s">
        <v>29</v>
      </c>
      <c r="C3" t="s">
        <v>31</v>
      </c>
      <c r="D3">
        <v>15</v>
      </c>
    </row>
    <row r="4" spans="1:4" x14ac:dyDescent="0.45">
      <c r="A4" t="s">
        <v>20</v>
      </c>
      <c r="B4" t="s">
        <v>29</v>
      </c>
      <c r="C4" t="s">
        <v>32</v>
      </c>
      <c r="D4">
        <v>25</v>
      </c>
    </row>
    <row r="5" spans="1:4" x14ac:dyDescent="0.45">
      <c r="A5" t="s">
        <v>21</v>
      </c>
      <c r="B5" t="s">
        <v>29</v>
      </c>
      <c r="C5" t="s">
        <v>33</v>
      </c>
      <c r="D5" t="s">
        <v>29</v>
      </c>
    </row>
    <row r="6" spans="1:4" x14ac:dyDescent="0.45">
      <c r="A6" t="s">
        <v>22</v>
      </c>
      <c r="B6" t="s">
        <v>29</v>
      </c>
      <c r="C6" t="s">
        <v>34</v>
      </c>
      <c r="D6" t="s">
        <v>29</v>
      </c>
    </row>
    <row r="7" spans="1:4" x14ac:dyDescent="0.45">
      <c r="A7" t="s">
        <v>23</v>
      </c>
      <c r="B7">
        <v>5</v>
      </c>
      <c r="C7" t="s">
        <v>35</v>
      </c>
      <c r="D7" t="s">
        <v>28</v>
      </c>
    </row>
    <row r="8" spans="1:4" x14ac:dyDescent="0.45">
      <c r="A8" t="s">
        <v>24</v>
      </c>
      <c r="B8">
        <v>15</v>
      </c>
      <c r="C8" t="s">
        <v>30</v>
      </c>
      <c r="D8">
        <v>15</v>
      </c>
    </row>
    <row r="9" spans="1:4" x14ac:dyDescent="0.45">
      <c r="A9" t="s">
        <v>25</v>
      </c>
      <c r="B9">
        <v>15</v>
      </c>
      <c r="C9" t="s">
        <v>30</v>
      </c>
      <c r="D9" t="s">
        <v>28</v>
      </c>
    </row>
    <row r="10" spans="1:4" x14ac:dyDescent="0.45">
      <c r="A10" t="s">
        <v>26</v>
      </c>
      <c r="B10">
        <v>20</v>
      </c>
      <c r="C10" t="s">
        <v>30</v>
      </c>
      <c r="D10" t="s">
        <v>28</v>
      </c>
    </row>
    <row r="11" spans="1:4" x14ac:dyDescent="0.45">
      <c r="A11" t="s">
        <v>27</v>
      </c>
      <c r="B11">
        <v>20</v>
      </c>
      <c r="C11" t="s">
        <v>31</v>
      </c>
      <c r="D11">
        <v>20</v>
      </c>
    </row>
  </sheetData>
  <phoneticPr fontId="1"/>
  <dataValidations count="2">
    <dataValidation type="list" allowBlank="1" showInputMessage="1" showErrorMessage="1" sqref="B2:B11 D2:D11" xr:uid="{3A110E15-B519-4561-A2DB-E4D1C424D4ED}">
      <formula1>"5,10,15,20,25,末"</formula1>
    </dataValidation>
    <dataValidation type="list" allowBlank="1" showInputMessage="1" showErrorMessage="1" sqref="C2:C11" xr:uid="{83FAA873-BA01-46F3-A4E4-D8EB6B0E076C}">
      <formula1>"0月後,1月後,2月後,3月後,4月後,5月後,6月後"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3ED35-2C39-4F9D-AE6D-C3AACC3EA56A}">
  <sheetPr codeName="Sheet4"/>
  <dimension ref="A1:C34"/>
  <sheetViews>
    <sheetView zoomScaleNormal="100" workbookViewId="0"/>
  </sheetViews>
  <sheetFormatPr defaultRowHeight="18" x14ac:dyDescent="0.45"/>
  <cols>
    <col min="1" max="1" width="11.296875" style="1" bestFit="1" customWidth="1"/>
    <col min="2" max="2" width="12.3984375" bestFit="1" customWidth="1"/>
    <col min="3" max="3" width="5" bestFit="1" customWidth="1"/>
  </cols>
  <sheetData>
    <row r="1" spans="1:3" x14ac:dyDescent="0.45">
      <c r="A1" s="1" t="s">
        <v>46</v>
      </c>
      <c r="B1" t="s">
        <v>47</v>
      </c>
      <c r="C1" t="s">
        <v>48</v>
      </c>
    </row>
    <row r="2" spans="1:3" x14ac:dyDescent="0.45">
      <c r="A2" s="1">
        <v>44197</v>
      </c>
      <c r="B2" t="s">
        <v>49</v>
      </c>
      <c r="C2" t="s">
        <v>63</v>
      </c>
    </row>
    <row r="3" spans="1:3" x14ac:dyDescent="0.45">
      <c r="A3" s="1">
        <v>44207</v>
      </c>
      <c r="B3" t="s">
        <v>53</v>
      </c>
      <c r="C3" t="s">
        <v>52</v>
      </c>
    </row>
    <row r="4" spans="1:3" x14ac:dyDescent="0.45">
      <c r="A4" s="1">
        <v>44238</v>
      </c>
      <c r="B4" t="s">
        <v>54</v>
      </c>
      <c r="C4" t="s">
        <v>61</v>
      </c>
    </row>
    <row r="5" spans="1:3" x14ac:dyDescent="0.45">
      <c r="A5" s="1">
        <v>44250</v>
      </c>
      <c r="B5" t="s">
        <v>70</v>
      </c>
      <c r="C5" t="s">
        <v>71</v>
      </c>
    </row>
    <row r="6" spans="1:3" x14ac:dyDescent="0.45">
      <c r="A6" s="1">
        <v>44275</v>
      </c>
      <c r="B6" t="s">
        <v>56</v>
      </c>
      <c r="C6" t="s">
        <v>55</v>
      </c>
    </row>
    <row r="7" spans="1:3" x14ac:dyDescent="0.45">
      <c r="A7" s="1">
        <v>44315</v>
      </c>
      <c r="B7" t="s">
        <v>57</v>
      </c>
      <c r="C7" t="s">
        <v>61</v>
      </c>
    </row>
    <row r="8" spans="1:3" x14ac:dyDescent="0.45">
      <c r="A8" s="1">
        <v>44319</v>
      </c>
      <c r="B8" t="s">
        <v>58</v>
      </c>
      <c r="C8" t="s">
        <v>52</v>
      </c>
    </row>
    <row r="9" spans="1:3" x14ac:dyDescent="0.45">
      <c r="A9" s="1">
        <v>44320</v>
      </c>
      <c r="B9" t="s">
        <v>60</v>
      </c>
      <c r="C9" t="s">
        <v>71</v>
      </c>
    </row>
    <row r="10" spans="1:3" x14ac:dyDescent="0.45">
      <c r="A10" s="1">
        <v>44321</v>
      </c>
      <c r="B10" t="s">
        <v>62</v>
      </c>
      <c r="C10" t="s">
        <v>59</v>
      </c>
    </row>
    <row r="11" spans="1:3" x14ac:dyDescent="0.45">
      <c r="A11" s="1">
        <v>44399</v>
      </c>
      <c r="B11" t="s">
        <v>64</v>
      </c>
      <c r="C11" t="s">
        <v>61</v>
      </c>
    </row>
    <row r="12" spans="1:3" x14ac:dyDescent="0.45">
      <c r="A12" s="1">
        <v>44400</v>
      </c>
      <c r="B12" t="s">
        <v>72</v>
      </c>
      <c r="C12" t="s">
        <v>63</v>
      </c>
    </row>
    <row r="13" spans="1:3" x14ac:dyDescent="0.45">
      <c r="A13" s="1">
        <v>44416</v>
      </c>
      <c r="B13" t="s">
        <v>65</v>
      </c>
      <c r="C13" t="s">
        <v>50</v>
      </c>
    </row>
    <row r="14" spans="1:3" x14ac:dyDescent="0.45">
      <c r="A14" s="1">
        <v>44417</v>
      </c>
      <c r="B14" t="s">
        <v>51</v>
      </c>
      <c r="C14" t="s">
        <v>52</v>
      </c>
    </row>
    <row r="15" spans="1:3" x14ac:dyDescent="0.45">
      <c r="A15" s="1">
        <v>44459</v>
      </c>
      <c r="B15" t="s">
        <v>66</v>
      </c>
      <c r="C15" t="s">
        <v>52</v>
      </c>
    </row>
    <row r="16" spans="1:3" x14ac:dyDescent="0.45">
      <c r="A16" s="1">
        <v>44462</v>
      </c>
      <c r="B16" t="s">
        <v>67</v>
      </c>
      <c r="C16" t="s">
        <v>61</v>
      </c>
    </row>
    <row r="17" spans="1:3" x14ac:dyDescent="0.45">
      <c r="A17" s="1">
        <v>44503</v>
      </c>
      <c r="B17" t="s">
        <v>68</v>
      </c>
      <c r="C17" t="s">
        <v>59</v>
      </c>
    </row>
    <row r="18" spans="1:3" x14ac:dyDescent="0.45">
      <c r="A18" s="1">
        <v>44523</v>
      </c>
      <c r="B18" t="s">
        <v>69</v>
      </c>
      <c r="C18" t="s">
        <v>71</v>
      </c>
    </row>
    <row r="19" spans="1:3" x14ac:dyDescent="0.45">
      <c r="A19" s="1">
        <v>44562</v>
      </c>
      <c r="B19" t="s">
        <v>49</v>
      </c>
      <c r="C19" t="s">
        <v>55</v>
      </c>
    </row>
    <row r="20" spans="1:3" x14ac:dyDescent="0.45">
      <c r="A20" s="1">
        <v>44571</v>
      </c>
      <c r="B20" t="s">
        <v>53</v>
      </c>
      <c r="C20" t="s">
        <v>52</v>
      </c>
    </row>
    <row r="21" spans="1:3" x14ac:dyDescent="0.45">
      <c r="A21" s="1">
        <v>44603</v>
      </c>
      <c r="B21" t="s">
        <v>54</v>
      </c>
      <c r="C21" t="s">
        <v>63</v>
      </c>
    </row>
    <row r="22" spans="1:3" x14ac:dyDescent="0.45">
      <c r="A22" s="1">
        <v>44615</v>
      </c>
      <c r="B22" t="s">
        <v>70</v>
      </c>
      <c r="C22" t="s">
        <v>59</v>
      </c>
    </row>
    <row r="23" spans="1:3" x14ac:dyDescent="0.45">
      <c r="A23" s="1">
        <v>44641</v>
      </c>
      <c r="B23" t="s">
        <v>56</v>
      </c>
      <c r="C23" t="s">
        <v>52</v>
      </c>
    </row>
    <row r="24" spans="1:3" x14ac:dyDescent="0.45">
      <c r="A24" s="1">
        <v>44680</v>
      </c>
      <c r="B24" t="s">
        <v>57</v>
      </c>
      <c r="C24" t="s">
        <v>63</v>
      </c>
    </row>
    <row r="25" spans="1:3" x14ac:dyDescent="0.45">
      <c r="A25" s="1">
        <v>44684</v>
      </c>
      <c r="B25" t="s">
        <v>58</v>
      </c>
      <c r="C25" t="s">
        <v>71</v>
      </c>
    </row>
    <row r="26" spans="1:3" x14ac:dyDescent="0.45">
      <c r="A26" s="1">
        <v>44685</v>
      </c>
      <c r="B26" t="s">
        <v>60</v>
      </c>
      <c r="C26" t="s">
        <v>59</v>
      </c>
    </row>
    <row r="27" spans="1:3" x14ac:dyDescent="0.45">
      <c r="A27" s="1">
        <v>44686</v>
      </c>
      <c r="B27" t="s">
        <v>62</v>
      </c>
      <c r="C27" t="s">
        <v>61</v>
      </c>
    </row>
    <row r="28" spans="1:3" x14ac:dyDescent="0.45">
      <c r="A28" s="1">
        <v>44760</v>
      </c>
      <c r="B28" t="s">
        <v>64</v>
      </c>
      <c r="C28" t="s">
        <v>52</v>
      </c>
    </row>
    <row r="29" spans="1:3" x14ac:dyDescent="0.45">
      <c r="A29" s="1">
        <v>44784</v>
      </c>
      <c r="B29" t="s">
        <v>65</v>
      </c>
      <c r="C29" t="s">
        <v>61</v>
      </c>
    </row>
    <row r="30" spans="1:3" x14ac:dyDescent="0.45">
      <c r="A30" s="1">
        <v>44823</v>
      </c>
      <c r="B30" t="s">
        <v>66</v>
      </c>
      <c r="C30" t="s">
        <v>52</v>
      </c>
    </row>
    <row r="31" spans="1:3" x14ac:dyDescent="0.45">
      <c r="A31" s="1">
        <v>44827</v>
      </c>
      <c r="B31" t="s">
        <v>67</v>
      </c>
      <c r="C31" t="s">
        <v>63</v>
      </c>
    </row>
    <row r="32" spans="1:3" x14ac:dyDescent="0.45">
      <c r="A32" s="1">
        <v>44844</v>
      </c>
      <c r="B32" t="s">
        <v>72</v>
      </c>
      <c r="C32" t="s">
        <v>52</v>
      </c>
    </row>
    <row r="33" spans="1:3" x14ac:dyDescent="0.45">
      <c r="A33" s="1">
        <v>44868</v>
      </c>
      <c r="B33" t="s">
        <v>68</v>
      </c>
      <c r="C33" t="s">
        <v>61</v>
      </c>
    </row>
    <row r="34" spans="1:3" x14ac:dyDescent="0.45">
      <c r="A34" s="1">
        <v>44888</v>
      </c>
      <c r="B34" t="s">
        <v>69</v>
      </c>
      <c r="C34" t="s">
        <v>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入金予定</vt:lpstr>
      <vt:lpstr>取引先マスタ</vt:lpstr>
      <vt:lpstr>支払パターン</vt:lpstr>
      <vt:lpstr>祝日マスタ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2021-02-08T19:04:57Z</dcterms:created>
  <dcterms:modified xsi:type="dcterms:W3CDTF">2021-02-09T17:33:29Z</dcterms:modified>
</cp:coreProperties>
</file>